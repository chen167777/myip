
<file path=[Content_Types].xml><?xml version="1.0" encoding="utf-8"?>
<Types xmlns="http://schemas.openxmlformats.org/package/2006/content-types">
  <Default Extension="bin" ContentType="application/vnd.openxmlformats-officedocument.oleOb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7329\Desktop\第三次小组作业\"/>
    </mc:Choice>
  </mc:AlternateContent>
  <xr:revisionPtr revIDLastSave="0" documentId="13_ncr:1_{4887A185-56EF-4293-8711-285DAAA5190F}" xr6:coauthVersionLast="47" xr6:coauthVersionMax="47" xr10:uidLastSave="{00000000-0000-0000-0000-000000000000}"/>
  <bookViews>
    <workbookView xWindow="-98" yWindow="-98" windowWidth="19095" windowHeight="12075" activeTab="7" xr2:uid="{00000000-000D-0000-FFFF-FFFF00000000}"/>
  </bookViews>
  <sheets>
    <sheet name="Cover" sheetId="3" r:id="rId1"/>
    <sheet name="Exp" sheetId="2" r:id="rId2"/>
    <sheet name="Mort" sheetId="1" r:id="rId3"/>
    <sheet name="Prem" sheetId="6" r:id="rId4"/>
    <sheet name="CV" sheetId="4" r:id="rId5"/>
    <sheet name="GP_Table" sheetId="7" r:id="rId6"/>
    <sheet name="毛保费汇总表" sheetId="9" r:id="rId7"/>
    <sheet name="CV_Table" sheetId="5" r:id="rId8"/>
  </sheets>
  <definedNames>
    <definedName name="AB_rate">Cover!$G$16</definedName>
    <definedName name="Age">Cover!$G$3</definedName>
    <definedName name="B">Cover!$G$8</definedName>
    <definedName name="Begin_Age">Cover!$G$6</definedName>
    <definedName name="BPP">Cover!$G$5</definedName>
    <definedName name="CV_Int">Cover!$G$12</definedName>
    <definedName name="End_Age">Cover!$G$7</definedName>
    <definedName name="Exp_load_CV">Exp!$L$6:$R$25</definedName>
    <definedName name="Exp_load_Prem">Exp!$B$6:$I$25</definedName>
    <definedName name="Face_Amt">Cover!$G$15</definedName>
    <definedName name="GB_rate">Cover!$G$17</definedName>
    <definedName name="Gross_Premium">Prem!$E$10</definedName>
    <definedName name="mort_alb_25">Mort!$A$10:$I$115</definedName>
    <definedName name="Mort_Int">Cover!$G$14</definedName>
    <definedName name="PPP">Cover!$G$9</definedName>
    <definedName name="Prem">Cover!$G$19</definedName>
    <definedName name="Prem_Int">Cover!$G$11</definedName>
    <definedName name="Sex">Cover!$G$4</definedName>
  </definedNames>
  <calcPr calcId="191029" iterate="1" iterateCount="1000" iterateDelta="1E-4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6" l="1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8" i="6"/>
  <c r="G7" i="3"/>
  <c r="J5" i="7"/>
  <c r="J6" i="7"/>
  <c r="G5" i="3"/>
  <c r="A1" i="7"/>
  <c r="B18" i="4"/>
  <c r="B18" i="6"/>
  <c r="E6" i="4"/>
  <c r="E8" i="4"/>
  <c r="C8" i="4"/>
  <c r="E7" i="4"/>
  <c r="C6" i="4"/>
  <c r="E5" i="4"/>
  <c r="C4" i="4"/>
  <c r="E3" i="4"/>
  <c r="C3" i="4"/>
  <c r="E2" i="4"/>
  <c r="C2" i="4"/>
  <c r="E8" i="6"/>
  <c r="C8" i="6"/>
  <c r="E7" i="6"/>
  <c r="C6" i="6"/>
  <c r="E5" i="6"/>
  <c r="C4" i="6"/>
  <c r="E3" i="6"/>
  <c r="C3" i="6"/>
  <c r="E2" i="6"/>
  <c r="C2" i="6"/>
  <c r="I9" i="1"/>
  <c r="H9" i="1"/>
  <c r="G9" i="1"/>
  <c r="F9" i="1"/>
  <c r="E9" i="1"/>
  <c r="D9" i="1"/>
  <c r="C9" i="1"/>
  <c r="B9" i="1"/>
  <c r="L4" i="2"/>
  <c r="B4" i="2"/>
  <c r="A1" i="5"/>
  <c r="C18" i="4"/>
  <c r="C18" i="6"/>
  <c r="E6" i="6"/>
  <c r="J14" i="7"/>
  <c r="J26" i="7"/>
  <c r="J46" i="7"/>
  <c r="J34" i="7"/>
  <c r="J48" i="7"/>
  <c r="J49" i="7"/>
  <c r="J50" i="7"/>
  <c r="J10" i="7"/>
  <c r="J13" i="7"/>
  <c r="J58" i="7"/>
  <c r="J23" i="7"/>
  <c r="J24" i="7"/>
  <c r="C5" i="4"/>
  <c r="K18" i="6"/>
  <c r="K18" i="4"/>
  <c r="A7" i="5"/>
  <c r="C5" i="6"/>
  <c r="A18" i="4"/>
  <c r="O18" i="4" a="1"/>
  <c r="O18" i="4"/>
  <c r="J62" i="7"/>
  <c r="J29" i="7"/>
  <c r="J9" i="7"/>
  <c r="J33" i="7"/>
  <c r="J63" i="7"/>
  <c r="J38" i="7"/>
  <c r="J22" i="7"/>
  <c r="J39" i="7"/>
  <c r="J61" i="7"/>
  <c r="J17" i="7"/>
  <c r="J30" i="7"/>
  <c r="J54" i="7"/>
  <c r="J7" i="7"/>
  <c r="J18" i="7"/>
  <c r="J31" i="7"/>
  <c r="J42" i="7"/>
  <c r="J55" i="7"/>
  <c r="J66" i="7"/>
  <c r="J16" i="7"/>
  <c r="J40" i="7"/>
  <c r="J53" i="7"/>
  <c r="J64" i="7"/>
  <c r="J41" i="7"/>
  <c r="J65" i="7"/>
  <c r="J8" i="7"/>
  <c r="J21" i="7"/>
  <c r="J32" i="7"/>
  <c r="J45" i="7"/>
  <c r="J56" i="7"/>
  <c r="B7" i="5"/>
  <c r="B19" i="6"/>
  <c r="B19" i="4"/>
  <c r="B8" i="5"/>
  <c r="J18" i="4"/>
  <c r="J15" i="7"/>
  <c r="J25" i="7"/>
  <c r="J37" i="7"/>
  <c r="J47" i="7"/>
  <c r="J57" i="7"/>
  <c r="J11" i="7"/>
  <c r="J19" i="7"/>
  <c r="J27" i="7"/>
  <c r="J35" i="7"/>
  <c r="J43" i="7"/>
  <c r="J51" i="7"/>
  <c r="J59" i="7"/>
  <c r="J12" i="7"/>
  <c r="J20" i="7"/>
  <c r="J28" i="7"/>
  <c r="J36" i="7"/>
  <c r="J44" i="7"/>
  <c r="J52" i="7"/>
  <c r="J60" i="7"/>
  <c r="A18" i="6"/>
  <c r="C19" i="4"/>
  <c r="C19" i="6"/>
  <c r="K6" i="7"/>
  <c r="Y18" i="4"/>
  <c r="E18" i="4"/>
  <c r="B20" i="4"/>
  <c r="B9" i="5"/>
  <c r="A19" i="4"/>
  <c r="Y19" i="4"/>
  <c r="M18" i="4"/>
  <c r="A8" i="5"/>
  <c r="B20" i="6"/>
  <c r="A19" i="6"/>
  <c r="I19" i="6"/>
  <c r="K19" i="6"/>
  <c r="K19" i="4"/>
  <c r="E18" i="6"/>
  <c r="O18" i="6" a="1"/>
  <c r="O18" i="6"/>
  <c r="H18" i="6"/>
  <c r="I18" i="6"/>
  <c r="C20" i="6"/>
  <c r="C20" i="4"/>
  <c r="B21" i="4"/>
  <c r="B22" i="4"/>
  <c r="A20" i="4"/>
  <c r="O20" i="4" a="1"/>
  <c r="O20" i="4"/>
  <c r="A9" i="5"/>
  <c r="O19" i="4" a="1"/>
  <c r="O19" i="4"/>
  <c r="G18" i="4"/>
  <c r="D18" i="4"/>
  <c r="H19" i="6"/>
  <c r="H19" i="4"/>
  <c r="O19" i="6" a="1"/>
  <c r="O19" i="6"/>
  <c r="L19" i="6"/>
  <c r="L19" i="4"/>
  <c r="I19" i="4"/>
  <c r="J19" i="4"/>
  <c r="M19" i="4"/>
  <c r="B21" i="6"/>
  <c r="K20" i="6"/>
  <c r="K20" i="4"/>
  <c r="A20" i="6"/>
  <c r="H20" i="6"/>
  <c r="H20" i="4"/>
  <c r="I18" i="4"/>
  <c r="L18" i="6"/>
  <c r="G18" i="6"/>
  <c r="R18" i="6"/>
  <c r="S18" i="6"/>
  <c r="D18" i="6"/>
  <c r="H18" i="4"/>
  <c r="C21" i="6"/>
  <c r="C21" i="4"/>
  <c r="C22" i="4"/>
  <c r="A10" i="5"/>
  <c r="B10" i="5"/>
  <c r="A21" i="4"/>
  <c r="O21" i="4" a="1"/>
  <c r="O21" i="4"/>
  <c r="Y20" i="4"/>
  <c r="O20" i="6" a="1"/>
  <c r="O20" i="6"/>
  <c r="R18" i="4"/>
  <c r="S18" i="4"/>
  <c r="I20" i="6"/>
  <c r="I20" i="4"/>
  <c r="E19" i="4"/>
  <c r="F18" i="4"/>
  <c r="M20" i="4"/>
  <c r="J20" i="4"/>
  <c r="B22" i="6"/>
  <c r="K21" i="6"/>
  <c r="K21" i="4"/>
  <c r="J21" i="4"/>
  <c r="A21" i="6"/>
  <c r="H21" i="6"/>
  <c r="H21" i="4"/>
  <c r="L18" i="4"/>
  <c r="Q18" i="6"/>
  <c r="F18" i="6"/>
  <c r="E19" i="6"/>
  <c r="B23" i="4"/>
  <c r="A22" i="4"/>
  <c r="Y22" i="4"/>
  <c r="B11" i="5"/>
  <c r="A11" i="5"/>
  <c r="C22" i="6"/>
  <c r="C23" i="4"/>
  <c r="Y21" i="4"/>
  <c r="L20" i="6"/>
  <c r="L20" i="4"/>
  <c r="D19" i="4"/>
  <c r="G19" i="4"/>
  <c r="I21" i="6"/>
  <c r="I21" i="4"/>
  <c r="B23" i="6"/>
  <c r="J22" i="4"/>
  <c r="K22" i="6"/>
  <c r="K22" i="4"/>
  <c r="A22" i="6"/>
  <c r="H22" i="6"/>
  <c r="H22" i="4"/>
  <c r="O21" i="6" a="1"/>
  <c r="O21" i="6"/>
  <c r="O22" i="4" a="1"/>
  <c r="O22" i="4"/>
  <c r="M21" i="4"/>
  <c r="B24" i="4"/>
  <c r="A23" i="4"/>
  <c r="O23" i="4" a="1"/>
  <c r="O23" i="4"/>
  <c r="B12" i="5"/>
  <c r="A12" i="5"/>
  <c r="Q18" i="4"/>
  <c r="V18" i="4"/>
  <c r="D19" i="6"/>
  <c r="F19" i="6"/>
  <c r="G19" i="6"/>
  <c r="C24" i="4"/>
  <c r="C23" i="6"/>
  <c r="L21" i="6"/>
  <c r="L21" i="4"/>
  <c r="Q19" i="4"/>
  <c r="V19" i="4"/>
  <c r="R19" i="4"/>
  <c r="S19" i="4"/>
  <c r="F19" i="4"/>
  <c r="E20" i="4"/>
  <c r="O22" i="6" a="1"/>
  <c r="O22" i="6"/>
  <c r="M22" i="4"/>
  <c r="I22" i="6"/>
  <c r="B24" i="6"/>
  <c r="A23" i="6"/>
  <c r="I23" i="6"/>
  <c r="I23" i="4"/>
  <c r="K23" i="6"/>
  <c r="K23" i="4"/>
  <c r="E20" i="6"/>
  <c r="D20" i="6"/>
  <c r="Y23" i="4"/>
  <c r="B25" i="4"/>
  <c r="A24" i="4"/>
  <c r="Y24" i="4"/>
  <c r="B13" i="5"/>
  <c r="A13" i="5"/>
  <c r="Q19" i="6"/>
  <c r="R19" i="6"/>
  <c r="S19" i="6"/>
  <c r="C25" i="4"/>
  <c r="C24" i="6"/>
  <c r="O24" i="4" a="1"/>
  <c r="O24" i="4"/>
  <c r="D20" i="4"/>
  <c r="F20" i="4"/>
  <c r="G20" i="4"/>
  <c r="O23" i="6" a="1"/>
  <c r="O23" i="6"/>
  <c r="H23" i="6"/>
  <c r="H23" i="4"/>
  <c r="M23" i="4"/>
  <c r="J23" i="4"/>
  <c r="B25" i="6"/>
  <c r="K24" i="6"/>
  <c r="K24" i="4"/>
  <c r="A24" i="6"/>
  <c r="H24" i="6"/>
  <c r="H24" i="4"/>
  <c r="I22" i="4"/>
  <c r="L22" i="6"/>
  <c r="L22" i="4"/>
  <c r="L23" i="6"/>
  <c r="L23" i="4"/>
  <c r="G20" i="6"/>
  <c r="Q20" i="6"/>
  <c r="B26" i="4"/>
  <c r="A25" i="4"/>
  <c r="Y25" i="4"/>
  <c r="A14" i="5"/>
  <c r="B14" i="5"/>
  <c r="F20" i="6"/>
  <c r="E21" i="6"/>
  <c r="C26" i="4"/>
  <c r="C25" i="6"/>
  <c r="E21" i="4"/>
  <c r="D21" i="4"/>
  <c r="I24" i="6"/>
  <c r="I24" i="4"/>
  <c r="O24" i="6" a="1"/>
  <c r="O24" i="6"/>
  <c r="Q20" i="4"/>
  <c r="R20" i="4"/>
  <c r="S20" i="4"/>
  <c r="V20" i="4"/>
  <c r="O25" i="4" a="1"/>
  <c r="O25" i="4"/>
  <c r="R20" i="6"/>
  <c r="S20" i="6"/>
  <c r="M24" i="4"/>
  <c r="J24" i="4"/>
  <c r="B26" i="6"/>
  <c r="K25" i="6"/>
  <c r="K25" i="4"/>
  <c r="A25" i="6"/>
  <c r="H25" i="6"/>
  <c r="H25" i="4"/>
  <c r="J25" i="4"/>
  <c r="B27" i="4"/>
  <c r="A26" i="4"/>
  <c r="O26" i="4" a="1"/>
  <c r="O26" i="4"/>
  <c r="B15" i="5"/>
  <c r="A15" i="5"/>
  <c r="D21" i="6"/>
  <c r="F21" i="6"/>
  <c r="G21" i="6"/>
  <c r="C26" i="6"/>
  <c r="C27" i="4"/>
  <c r="L24" i="6"/>
  <c r="L24" i="4"/>
  <c r="G21" i="4"/>
  <c r="R21" i="4"/>
  <c r="S21" i="4"/>
  <c r="F21" i="4"/>
  <c r="E22" i="4"/>
  <c r="M25" i="4"/>
  <c r="O25" i="6" a="1"/>
  <c r="O25" i="6"/>
  <c r="B27" i="6"/>
  <c r="J26" i="4"/>
  <c r="K26" i="6"/>
  <c r="K26" i="4"/>
  <c r="A26" i="6"/>
  <c r="H26" i="6"/>
  <c r="H26" i="4"/>
  <c r="I25" i="6"/>
  <c r="E22" i="6"/>
  <c r="G22" i="6"/>
  <c r="A27" i="4"/>
  <c r="O27" i="4" a="1"/>
  <c r="O27" i="4"/>
  <c r="B28" i="4"/>
  <c r="A16" i="5"/>
  <c r="B16" i="5"/>
  <c r="Y26" i="4"/>
  <c r="R21" i="6"/>
  <c r="S21" i="6"/>
  <c r="Q21" i="6"/>
  <c r="C27" i="6"/>
  <c r="C28" i="4"/>
  <c r="V21" i="4"/>
  <c r="Q21" i="4"/>
  <c r="D22" i="4"/>
  <c r="F22" i="4"/>
  <c r="G22" i="4"/>
  <c r="I26" i="6"/>
  <c r="I26" i="4"/>
  <c r="O26" i="6" a="1"/>
  <c r="O26" i="6"/>
  <c r="Y27" i="4"/>
  <c r="M26" i="4"/>
  <c r="I25" i="4"/>
  <c r="L25" i="6"/>
  <c r="L25" i="4"/>
  <c r="B28" i="6"/>
  <c r="K27" i="6"/>
  <c r="K27" i="4"/>
  <c r="A27" i="6"/>
  <c r="I27" i="6"/>
  <c r="I27" i="4"/>
  <c r="R22" i="6"/>
  <c r="S22" i="6"/>
  <c r="Q22" i="6"/>
  <c r="D22" i="6"/>
  <c r="F22" i="6"/>
  <c r="A28" i="4"/>
  <c r="Y28" i="4"/>
  <c r="B29" i="4"/>
  <c r="B17" i="5"/>
  <c r="A17" i="5"/>
  <c r="C29" i="4"/>
  <c r="C28" i="6"/>
  <c r="O27" i="6" a="1"/>
  <c r="O27" i="6"/>
  <c r="L26" i="6"/>
  <c r="L26" i="4"/>
  <c r="E23" i="4"/>
  <c r="D23" i="4"/>
  <c r="F23" i="4"/>
  <c r="V22" i="4"/>
  <c r="R22" i="4"/>
  <c r="S22" i="4"/>
  <c r="Q22" i="4"/>
  <c r="E23" i="6"/>
  <c r="D23" i="6"/>
  <c r="F23" i="6"/>
  <c r="M27" i="4"/>
  <c r="J27" i="4"/>
  <c r="H27" i="6"/>
  <c r="H27" i="4"/>
  <c r="B29" i="6"/>
  <c r="K28" i="6"/>
  <c r="K28" i="4"/>
  <c r="A28" i="6"/>
  <c r="H28" i="6"/>
  <c r="H28" i="4"/>
  <c r="L27" i="6"/>
  <c r="L27" i="4"/>
  <c r="O28" i="4" a="1"/>
  <c r="O28" i="4"/>
  <c r="A29" i="4"/>
  <c r="Y29" i="4"/>
  <c r="B30" i="4"/>
  <c r="B18" i="5"/>
  <c r="A18" i="5"/>
  <c r="C30" i="4"/>
  <c r="C29" i="6"/>
  <c r="G23" i="4"/>
  <c r="V23" i="4"/>
  <c r="G23" i="6"/>
  <c r="R23" i="6"/>
  <c r="S23" i="6"/>
  <c r="I28" i="6"/>
  <c r="I28" i="4"/>
  <c r="E24" i="4"/>
  <c r="O29" i="4" a="1"/>
  <c r="O29" i="4"/>
  <c r="O28" i="6" a="1"/>
  <c r="O28" i="6"/>
  <c r="M28" i="4"/>
  <c r="J28" i="4"/>
  <c r="B30" i="6"/>
  <c r="A29" i="6"/>
  <c r="O29" i="6" a="1"/>
  <c r="O29" i="6"/>
  <c r="K29" i="6"/>
  <c r="K29" i="4"/>
  <c r="E24" i="6"/>
  <c r="B31" i="4"/>
  <c r="A30" i="4"/>
  <c r="O30" i="4" a="1"/>
  <c r="O30" i="4"/>
  <c r="B19" i="5"/>
  <c r="A19" i="5"/>
  <c r="C30" i="6"/>
  <c r="C31" i="4"/>
  <c r="L28" i="6"/>
  <c r="L28" i="4"/>
  <c r="Q23" i="4"/>
  <c r="R23" i="4"/>
  <c r="S23" i="4"/>
  <c r="Q23" i="6"/>
  <c r="D24" i="4"/>
  <c r="F24" i="4"/>
  <c r="G24" i="4"/>
  <c r="I29" i="6"/>
  <c r="I29" i="4"/>
  <c r="Y30" i="4"/>
  <c r="H29" i="6"/>
  <c r="H29" i="4"/>
  <c r="M29" i="4"/>
  <c r="J29" i="4"/>
  <c r="B31" i="6"/>
  <c r="A30" i="6"/>
  <c r="H30" i="6"/>
  <c r="H30" i="4"/>
  <c r="J30" i="4"/>
  <c r="K30" i="6"/>
  <c r="K30" i="4"/>
  <c r="G24" i="6"/>
  <c r="D24" i="6"/>
  <c r="F24" i="6"/>
  <c r="B32" i="4"/>
  <c r="A31" i="4"/>
  <c r="Y31" i="4"/>
  <c r="A20" i="5"/>
  <c r="B20" i="5"/>
  <c r="C32" i="4"/>
  <c r="C31" i="6"/>
  <c r="L29" i="6"/>
  <c r="L29" i="4"/>
  <c r="E25" i="4"/>
  <c r="G25" i="4"/>
  <c r="O30" i="6" a="1"/>
  <c r="O30" i="6"/>
  <c r="V24" i="4"/>
  <c r="Q24" i="4"/>
  <c r="R24" i="4"/>
  <c r="S24" i="4"/>
  <c r="O31" i="4" a="1"/>
  <c r="O31" i="4"/>
  <c r="I30" i="6"/>
  <c r="I30" i="4"/>
  <c r="E25" i="6"/>
  <c r="G25" i="6"/>
  <c r="B32" i="6"/>
  <c r="K31" i="6"/>
  <c r="K31" i="4"/>
  <c r="A31" i="6"/>
  <c r="I31" i="6"/>
  <c r="I31" i="4"/>
  <c r="M30" i="4"/>
  <c r="R24" i="6"/>
  <c r="S24" i="6"/>
  <c r="Q24" i="6"/>
  <c r="B33" i="4"/>
  <c r="A32" i="4"/>
  <c r="Y32" i="4"/>
  <c r="B21" i="5"/>
  <c r="A21" i="5"/>
  <c r="C32" i="6"/>
  <c r="C33" i="4"/>
  <c r="D25" i="4"/>
  <c r="F25" i="4"/>
  <c r="L30" i="6"/>
  <c r="L30" i="4"/>
  <c r="V25" i="4"/>
  <c r="Q25" i="4"/>
  <c r="R25" i="4"/>
  <c r="S25" i="4"/>
  <c r="D25" i="6"/>
  <c r="F25" i="6"/>
  <c r="O32" i="4" a="1"/>
  <c r="O32" i="4"/>
  <c r="O31" i="6" a="1"/>
  <c r="O31" i="6"/>
  <c r="L31" i="6"/>
  <c r="L31" i="4"/>
  <c r="M31" i="4"/>
  <c r="J31" i="4"/>
  <c r="H31" i="6"/>
  <c r="H31" i="4"/>
  <c r="B33" i="6"/>
  <c r="A32" i="6"/>
  <c r="H32" i="6"/>
  <c r="H32" i="4"/>
  <c r="K32" i="6"/>
  <c r="K32" i="4"/>
  <c r="R25" i="6"/>
  <c r="S25" i="6"/>
  <c r="Q25" i="6"/>
  <c r="B34" i="4"/>
  <c r="A33" i="4"/>
  <c r="Y33" i="4"/>
  <c r="B22" i="5"/>
  <c r="A22" i="5"/>
  <c r="C33" i="6"/>
  <c r="C34" i="4"/>
  <c r="E26" i="4"/>
  <c r="D26" i="4"/>
  <c r="F26" i="4"/>
  <c r="E26" i="6"/>
  <c r="G26" i="6"/>
  <c r="O33" i="4" a="1"/>
  <c r="O33" i="4"/>
  <c r="O32" i="6" a="1"/>
  <c r="O32" i="6"/>
  <c r="I32" i="6"/>
  <c r="B34" i="6"/>
  <c r="A33" i="6"/>
  <c r="H33" i="6"/>
  <c r="H33" i="4"/>
  <c r="J33" i="4"/>
  <c r="K33" i="6"/>
  <c r="K33" i="4"/>
  <c r="M32" i="4"/>
  <c r="J32" i="4"/>
  <c r="B35" i="4"/>
  <c r="A34" i="4"/>
  <c r="O34" i="4" a="1"/>
  <c r="O34" i="4"/>
  <c r="B23" i="5"/>
  <c r="A23" i="5"/>
  <c r="C35" i="4"/>
  <c r="C34" i="6"/>
  <c r="E27" i="4"/>
  <c r="D27" i="4"/>
  <c r="F27" i="4"/>
  <c r="G26" i="4"/>
  <c r="V26" i="4"/>
  <c r="D26" i="6"/>
  <c r="F26" i="6"/>
  <c r="Y34" i="4"/>
  <c r="O33" i="6" a="1"/>
  <c r="O33" i="6"/>
  <c r="M33" i="4"/>
  <c r="I33" i="6"/>
  <c r="L32" i="6"/>
  <c r="L32" i="4"/>
  <c r="I32" i="4"/>
  <c r="B35" i="6"/>
  <c r="A34" i="6"/>
  <c r="H34" i="6"/>
  <c r="H34" i="4"/>
  <c r="J34" i="4"/>
  <c r="K34" i="6"/>
  <c r="K34" i="4"/>
  <c r="R26" i="6"/>
  <c r="S26" i="6"/>
  <c r="Q26" i="6"/>
  <c r="A35" i="4"/>
  <c r="Y35" i="4"/>
  <c r="B36" i="4"/>
  <c r="B24" i="5"/>
  <c r="A24" i="5"/>
  <c r="C35" i="6"/>
  <c r="C36" i="4"/>
  <c r="E28" i="4"/>
  <c r="G28" i="4"/>
  <c r="R26" i="4"/>
  <c r="S26" i="4"/>
  <c r="Q26" i="4"/>
  <c r="G27" i="4"/>
  <c r="R27" i="4"/>
  <c r="S27" i="4"/>
  <c r="E27" i="6"/>
  <c r="D27" i="6"/>
  <c r="F27" i="6"/>
  <c r="O35" i="4" a="1"/>
  <c r="O35" i="4"/>
  <c r="B36" i="6"/>
  <c r="A35" i="6"/>
  <c r="H35" i="6"/>
  <c r="H35" i="4"/>
  <c r="K35" i="6"/>
  <c r="K35" i="4"/>
  <c r="O34" i="6" a="1"/>
  <c r="O34" i="6"/>
  <c r="M34" i="4"/>
  <c r="I34" i="6"/>
  <c r="I33" i="4"/>
  <c r="L33" i="6"/>
  <c r="L33" i="4"/>
  <c r="A36" i="4"/>
  <c r="O36" i="4" a="1"/>
  <c r="O36" i="4"/>
  <c r="B37" i="4"/>
  <c r="B25" i="5"/>
  <c r="A25" i="5"/>
  <c r="C36" i="6"/>
  <c r="C37" i="4"/>
  <c r="D28" i="4"/>
  <c r="F28" i="4"/>
  <c r="V27" i="4"/>
  <c r="Q27" i="4"/>
  <c r="G27" i="6"/>
  <c r="R27" i="6"/>
  <c r="S27" i="6"/>
  <c r="I35" i="6"/>
  <c r="I35" i="4"/>
  <c r="V28" i="4"/>
  <c r="R28" i="4"/>
  <c r="S28" i="4"/>
  <c r="Q28" i="4"/>
  <c r="O35" i="6" a="1"/>
  <c r="O35" i="6"/>
  <c r="Y36" i="4"/>
  <c r="M35" i="4"/>
  <c r="J35" i="4"/>
  <c r="I34" i="4"/>
  <c r="L34" i="6"/>
  <c r="L34" i="4"/>
  <c r="B37" i="6"/>
  <c r="A36" i="6"/>
  <c r="H36" i="6"/>
  <c r="H36" i="4"/>
  <c r="K36" i="6"/>
  <c r="K36" i="4"/>
  <c r="J36" i="4"/>
  <c r="E28" i="6"/>
  <c r="A37" i="4"/>
  <c r="O37" i="4" a="1"/>
  <c r="O37" i="4"/>
  <c r="B38" i="4"/>
  <c r="B26" i="5"/>
  <c r="A26" i="5"/>
  <c r="C38" i="4"/>
  <c r="C37" i="6"/>
  <c r="E29" i="4"/>
  <c r="G29" i="4"/>
  <c r="R29" i="4"/>
  <c r="S29" i="4"/>
  <c r="Q27" i="6"/>
  <c r="L35" i="6"/>
  <c r="L35" i="4"/>
  <c r="M36" i="4"/>
  <c r="I36" i="6"/>
  <c r="B38" i="6"/>
  <c r="A37" i="6"/>
  <c r="I37" i="6"/>
  <c r="I37" i="4"/>
  <c r="J37" i="4"/>
  <c r="K37" i="6"/>
  <c r="K37" i="4"/>
  <c r="Y37" i="4"/>
  <c r="O36" i="6" a="1"/>
  <c r="O36" i="6"/>
  <c r="G28" i="6"/>
  <c r="D28" i="6"/>
  <c r="F28" i="6"/>
  <c r="B39" i="4"/>
  <c r="A38" i="4"/>
  <c r="Y38" i="4"/>
  <c r="B27" i="5"/>
  <c r="A27" i="5"/>
  <c r="C39" i="4"/>
  <c r="C38" i="6"/>
  <c r="Q29" i="4"/>
  <c r="V29" i="4"/>
  <c r="D29" i="4"/>
  <c r="F29" i="4"/>
  <c r="O38" i="4" a="1"/>
  <c r="O38" i="4"/>
  <c r="M37" i="4"/>
  <c r="H37" i="6"/>
  <c r="H37" i="4"/>
  <c r="O37" i="6" a="1"/>
  <c r="O37" i="6"/>
  <c r="B39" i="6"/>
  <c r="J38" i="4"/>
  <c r="K38" i="6"/>
  <c r="K38" i="4"/>
  <c r="A38" i="6"/>
  <c r="H38" i="6"/>
  <c r="H38" i="4"/>
  <c r="L37" i="6"/>
  <c r="L37" i="4"/>
  <c r="L36" i="6"/>
  <c r="L36" i="4"/>
  <c r="I36" i="4"/>
  <c r="E29" i="6"/>
  <c r="G29" i="6"/>
  <c r="Q28" i="6"/>
  <c r="R28" i="6"/>
  <c r="S28" i="6"/>
  <c r="B40" i="4"/>
  <c r="A39" i="4"/>
  <c r="Y39" i="4"/>
  <c r="B28" i="5"/>
  <c r="A28" i="5"/>
  <c r="C39" i="6"/>
  <c r="C40" i="4"/>
  <c r="E30" i="4"/>
  <c r="D30" i="4"/>
  <c r="F30" i="4"/>
  <c r="I38" i="6"/>
  <c r="I38" i="4"/>
  <c r="O38" i="6" a="1"/>
  <c r="O38" i="6"/>
  <c r="B40" i="6"/>
  <c r="K39" i="6"/>
  <c r="K39" i="4"/>
  <c r="A39" i="6"/>
  <c r="I39" i="6"/>
  <c r="I39" i="4"/>
  <c r="J39" i="4"/>
  <c r="O39" i="4" a="1"/>
  <c r="O39" i="4"/>
  <c r="M38" i="4"/>
  <c r="D29" i="6"/>
  <c r="R29" i="6"/>
  <c r="S29" i="6"/>
  <c r="Q29" i="6"/>
  <c r="B41" i="4"/>
  <c r="A40" i="4"/>
  <c r="Y40" i="4"/>
  <c r="B29" i="5"/>
  <c r="A29" i="5"/>
  <c r="C41" i="4"/>
  <c r="C40" i="6"/>
  <c r="E31" i="4"/>
  <c r="G31" i="4"/>
  <c r="R31" i="4"/>
  <c r="S31" i="4"/>
  <c r="G30" i="4"/>
  <c r="R30" i="4"/>
  <c r="S30" i="4"/>
  <c r="L38" i="6"/>
  <c r="L38" i="4"/>
  <c r="O39" i="6" a="1"/>
  <c r="O39" i="6"/>
  <c r="M39" i="4"/>
  <c r="B41" i="6"/>
  <c r="A40" i="6"/>
  <c r="O40" i="6" a="1"/>
  <c r="O40" i="6"/>
  <c r="J40" i="4"/>
  <c r="K40" i="6"/>
  <c r="K40" i="4"/>
  <c r="L39" i="6"/>
  <c r="L39" i="4"/>
  <c r="H39" i="6"/>
  <c r="H39" i="4"/>
  <c r="F29" i="6"/>
  <c r="E30" i="6"/>
  <c r="B42" i="4"/>
  <c r="A41" i="4"/>
  <c r="Y41" i="4"/>
  <c r="A30" i="5"/>
  <c r="B30" i="5"/>
  <c r="O40" i="4" a="1"/>
  <c r="O40" i="4"/>
  <c r="C41" i="6"/>
  <c r="C42" i="4"/>
  <c r="Q31" i="4"/>
  <c r="V31" i="4"/>
  <c r="D31" i="4"/>
  <c r="F31" i="4"/>
  <c r="Q30" i="4"/>
  <c r="V30" i="4"/>
  <c r="O41" i="4" a="1"/>
  <c r="O41" i="4"/>
  <c r="H40" i="6"/>
  <c r="H40" i="4"/>
  <c r="I40" i="6"/>
  <c r="B42" i="6"/>
  <c r="A41" i="6"/>
  <c r="H41" i="6"/>
  <c r="H41" i="4"/>
  <c r="J41" i="4"/>
  <c r="K41" i="6"/>
  <c r="K41" i="4"/>
  <c r="M40" i="4"/>
  <c r="D30" i="6"/>
  <c r="F30" i="6"/>
  <c r="G30" i="6"/>
  <c r="B43" i="4"/>
  <c r="A42" i="4"/>
  <c r="O42" i="4" a="1"/>
  <c r="O42" i="4"/>
  <c r="B31" i="5"/>
  <c r="A31" i="5"/>
  <c r="C42" i="6"/>
  <c r="C43" i="4"/>
  <c r="E32" i="4"/>
  <c r="G32" i="4"/>
  <c r="V32" i="4"/>
  <c r="M41" i="4"/>
  <c r="I41" i="6"/>
  <c r="O41" i="6" a="1"/>
  <c r="O41" i="6"/>
  <c r="B43" i="6"/>
  <c r="A42" i="6"/>
  <c r="H42" i="6"/>
  <c r="H42" i="4"/>
  <c r="K42" i="6"/>
  <c r="K42" i="4"/>
  <c r="J42" i="4"/>
  <c r="I40" i="4"/>
  <c r="L40" i="6"/>
  <c r="L40" i="4"/>
  <c r="E31" i="6"/>
  <c r="G31" i="6"/>
  <c r="R30" i="6"/>
  <c r="S30" i="6"/>
  <c r="Q30" i="6"/>
  <c r="Y42" i="4"/>
  <c r="A43" i="4"/>
  <c r="Y43" i="4"/>
  <c r="B44" i="4"/>
  <c r="B32" i="5"/>
  <c r="A32" i="5"/>
  <c r="C43" i="6"/>
  <c r="C44" i="4"/>
  <c r="Q32" i="4"/>
  <c r="R32" i="4"/>
  <c r="S32" i="4"/>
  <c r="D32" i="4"/>
  <c r="F32" i="4"/>
  <c r="D31" i="6"/>
  <c r="F31" i="6"/>
  <c r="O43" i="4" a="1"/>
  <c r="O43" i="4"/>
  <c r="O42" i="6" a="1"/>
  <c r="O42" i="6"/>
  <c r="B44" i="6"/>
  <c r="K43" i="6"/>
  <c r="K43" i="4"/>
  <c r="A43" i="6"/>
  <c r="I43" i="6"/>
  <c r="I43" i="4"/>
  <c r="J43" i="4"/>
  <c r="I42" i="6"/>
  <c r="L41" i="6"/>
  <c r="L41" i="4"/>
  <c r="I41" i="4"/>
  <c r="M42" i="4"/>
  <c r="Q31" i="6"/>
  <c r="R31" i="6"/>
  <c r="S31" i="6"/>
  <c r="A44" i="4"/>
  <c r="O44" i="4" a="1"/>
  <c r="O44" i="4"/>
  <c r="B45" i="4"/>
  <c r="B33" i="5"/>
  <c r="A33" i="5"/>
  <c r="C45" i="4"/>
  <c r="C44" i="6"/>
  <c r="E33" i="4"/>
  <c r="G33" i="4"/>
  <c r="V33" i="4"/>
  <c r="E32" i="6"/>
  <c r="G32" i="6"/>
  <c r="O43" i="6" a="1"/>
  <c r="O43" i="6"/>
  <c r="M43" i="4"/>
  <c r="I42" i="4"/>
  <c r="L42" i="6"/>
  <c r="L42" i="4"/>
  <c r="B45" i="6"/>
  <c r="A44" i="6"/>
  <c r="H44" i="6"/>
  <c r="H44" i="4"/>
  <c r="J44" i="4"/>
  <c r="K44" i="6"/>
  <c r="K44" i="4"/>
  <c r="H43" i="6"/>
  <c r="H43" i="4"/>
  <c r="L43" i="6"/>
  <c r="L43" i="4"/>
  <c r="Y44" i="4"/>
  <c r="A45" i="4"/>
  <c r="O45" i="4" a="1"/>
  <c r="O45" i="4"/>
  <c r="B46" i="4"/>
  <c r="B34" i="5"/>
  <c r="A34" i="5"/>
  <c r="C46" i="4"/>
  <c r="C45" i="6"/>
  <c r="R33" i="4"/>
  <c r="S33" i="4"/>
  <c r="Q33" i="4"/>
  <c r="D33" i="4"/>
  <c r="E34" i="4"/>
  <c r="G34" i="4"/>
  <c r="D32" i="6"/>
  <c r="E33" i="6"/>
  <c r="I44" i="6"/>
  <c r="L44" i="6"/>
  <c r="L44" i="4"/>
  <c r="O44" i="6" a="1"/>
  <c r="O44" i="6"/>
  <c r="Y45" i="4"/>
  <c r="B46" i="6"/>
  <c r="J45" i="4"/>
  <c r="A45" i="6"/>
  <c r="O45" i="6" a="1"/>
  <c r="O45" i="6"/>
  <c r="K45" i="6"/>
  <c r="K45" i="4"/>
  <c r="M44" i="4"/>
  <c r="R32" i="6"/>
  <c r="S32" i="6"/>
  <c r="Q32" i="6"/>
  <c r="B47" i="4"/>
  <c r="A46" i="4"/>
  <c r="Y46" i="4"/>
  <c r="B35" i="5"/>
  <c r="A35" i="5"/>
  <c r="C46" i="6"/>
  <c r="C47" i="4"/>
  <c r="D34" i="4"/>
  <c r="F34" i="4"/>
  <c r="F33" i="4"/>
  <c r="F32" i="6"/>
  <c r="I44" i="4"/>
  <c r="Q34" i="4"/>
  <c r="R34" i="4"/>
  <c r="S34" i="4"/>
  <c r="V34" i="4"/>
  <c r="H45" i="6"/>
  <c r="H45" i="4"/>
  <c r="I45" i="6"/>
  <c r="M45" i="4"/>
  <c r="B47" i="6"/>
  <c r="J46" i="4"/>
  <c r="K46" i="6"/>
  <c r="K46" i="4"/>
  <c r="A46" i="6"/>
  <c r="H46" i="6"/>
  <c r="H46" i="4"/>
  <c r="D33" i="6"/>
  <c r="F33" i="6"/>
  <c r="G33" i="6"/>
  <c r="O46" i="4" a="1"/>
  <c r="O46" i="4"/>
  <c r="B48" i="4"/>
  <c r="A47" i="4"/>
  <c r="O47" i="4" a="1"/>
  <c r="O47" i="4"/>
  <c r="A36" i="5"/>
  <c r="B36" i="5"/>
  <c r="C47" i="6"/>
  <c r="C48" i="4"/>
  <c r="E35" i="4"/>
  <c r="D35" i="4"/>
  <c r="F35" i="4"/>
  <c r="E34" i="6"/>
  <c r="G34" i="6"/>
  <c r="I46" i="6"/>
  <c r="O46" i="6" a="1"/>
  <c r="O46" i="6"/>
  <c r="B48" i="6"/>
  <c r="A47" i="6"/>
  <c r="I47" i="6"/>
  <c r="I47" i="4"/>
  <c r="K47" i="6"/>
  <c r="K47" i="4"/>
  <c r="J47" i="4"/>
  <c r="M46" i="4"/>
  <c r="L45" i="6"/>
  <c r="L45" i="4"/>
  <c r="I45" i="4"/>
  <c r="Q33" i="6"/>
  <c r="R33" i="6"/>
  <c r="S33" i="6"/>
  <c r="Y47" i="4"/>
  <c r="B49" i="4"/>
  <c r="A48" i="4"/>
  <c r="Y48" i="4"/>
  <c r="B37" i="5"/>
  <c r="A37" i="5"/>
  <c r="C48" i="6"/>
  <c r="C49" i="4"/>
  <c r="G35" i="4"/>
  <c r="V35" i="4"/>
  <c r="E36" i="4"/>
  <c r="G36" i="4"/>
  <c r="R36" i="4"/>
  <c r="S36" i="4"/>
  <c r="O48" i="4" a="1"/>
  <c r="O48" i="4"/>
  <c r="O47" i="6" a="1"/>
  <c r="O47" i="6"/>
  <c r="M47" i="4"/>
  <c r="D34" i="6"/>
  <c r="E35" i="6"/>
  <c r="B49" i="6"/>
  <c r="K48" i="6"/>
  <c r="K48" i="4"/>
  <c r="A48" i="6"/>
  <c r="I48" i="6"/>
  <c r="I48" i="4"/>
  <c r="J48" i="4"/>
  <c r="H47" i="6"/>
  <c r="H47" i="4"/>
  <c r="L47" i="6"/>
  <c r="L47" i="4"/>
  <c r="I46" i="4"/>
  <c r="L46" i="6"/>
  <c r="L46" i="4"/>
  <c r="R34" i="6"/>
  <c r="S34" i="6"/>
  <c r="Q34" i="6"/>
  <c r="B50" i="4"/>
  <c r="A49" i="4"/>
  <c r="O49" i="4" a="1"/>
  <c r="O49" i="4"/>
  <c r="B38" i="5"/>
  <c r="A38" i="5"/>
  <c r="C49" i="6"/>
  <c r="C50" i="4"/>
  <c r="Q35" i="4"/>
  <c r="R35" i="4"/>
  <c r="S35" i="4"/>
  <c r="V36" i="4"/>
  <c r="D36" i="4"/>
  <c r="F36" i="4"/>
  <c r="Q36" i="4"/>
  <c r="O48" i="6" a="1"/>
  <c r="O48" i="6"/>
  <c r="F34" i="6"/>
  <c r="H48" i="6"/>
  <c r="H48" i="4"/>
  <c r="L48" i="6"/>
  <c r="L48" i="4"/>
  <c r="M48" i="4"/>
  <c r="B50" i="6"/>
  <c r="A49" i="6"/>
  <c r="H49" i="6"/>
  <c r="H49" i="4"/>
  <c r="K49" i="6"/>
  <c r="K49" i="4"/>
  <c r="J49" i="4"/>
  <c r="D35" i="6"/>
  <c r="G35" i="6"/>
  <c r="Y49" i="4"/>
  <c r="B51" i="4"/>
  <c r="A50" i="4"/>
  <c r="Y50" i="4"/>
  <c r="B39" i="5"/>
  <c r="A39" i="5"/>
  <c r="C51" i="4"/>
  <c r="C50" i="6"/>
  <c r="E37" i="4"/>
  <c r="G37" i="4"/>
  <c r="V37" i="4"/>
  <c r="I49" i="6"/>
  <c r="L49" i="6"/>
  <c r="L49" i="4"/>
  <c r="O49" i="6" a="1"/>
  <c r="O49" i="6"/>
  <c r="O50" i="4" a="1"/>
  <c r="O50" i="4"/>
  <c r="B51" i="6"/>
  <c r="A50" i="6"/>
  <c r="H50" i="6"/>
  <c r="H50" i="4"/>
  <c r="J50" i="4"/>
  <c r="K50" i="6"/>
  <c r="K50" i="4"/>
  <c r="M49" i="4"/>
  <c r="Q35" i="6"/>
  <c r="R35" i="6"/>
  <c r="S35" i="6"/>
  <c r="F35" i="6"/>
  <c r="E36" i="6"/>
  <c r="A51" i="4"/>
  <c r="Y51" i="4"/>
  <c r="B52" i="4"/>
  <c r="B40" i="5"/>
  <c r="A40" i="5"/>
  <c r="C52" i="4"/>
  <c r="C51" i="6"/>
  <c r="Q37" i="4"/>
  <c r="R37" i="4"/>
  <c r="S37" i="4"/>
  <c r="D37" i="4"/>
  <c r="F37" i="4"/>
  <c r="O50" i="6" a="1"/>
  <c r="O50" i="6"/>
  <c r="I50" i="6"/>
  <c r="I50" i="4"/>
  <c r="I49" i="4"/>
  <c r="M50" i="4"/>
  <c r="B52" i="6"/>
  <c r="J51" i="4"/>
  <c r="K51" i="6"/>
  <c r="K51" i="4"/>
  <c r="A51" i="6"/>
  <c r="O51" i="6" a="1"/>
  <c r="O51" i="6"/>
  <c r="D36" i="6"/>
  <c r="F36" i="6"/>
  <c r="G36" i="6"/>
  <c r="A52" i="4"/>
  <c r="Y52" i="4"/>
  <c r="B53" i="4"/>
  <c r="B41" i="5"/>
  <c r="A41" i="5"/>
  <c r="O51" i="4" a="1"/>
  <c r="O51" i="4"/>
  <c r="C53" i="4"/>
  <c r="C52" i="6"/>
  <c r="E38" i="4"/>
  <c r="G38" i="4"/>
  <c r="V38" i="4"/>
  <c r="L50" i="6"/>
  <c r="L50" i="4"/>
  <c r="M51" i="4"/>
  <c r="H51" i="6"/>
  <c r="H51" i="4"/>
  <c r="I51" i="6"/>
  <c r="I51" i="4"/>
  <c r="E37" i="6"/>
  <c r="G37" i="6"/>
  <c r="O52" i="4" a="1"/>
  <c r="O52" i="4"/>
  <c r="B53" i="6"/>
  <c r="J52" i="4"/>
  <c r="K52" i="6"/>
  <c r="K52" i="4"/>
  <c r="A52" i="6"/>
  <c r="O52" i="6" a="1"/>
  <c r="O52" i="6"/>
  <c r="R36" i="6"/>
  <c r="S36" i="6"/>
  <c r="Q36" i="6"/>
  <c r="A53" i="4"/>
  <c r="O53" i="4" a="1"/>
  <c r="O53" i="4"/>
  <c r="B54" i="4"/>
  <c r="B42" i="5"/>
  <c r="A42" i="5"/>
  <c r="C54" i="4"/>
  <c r="C53" i="6"/>
  <c r="D38" i="4"/>
  <c r="F38" i="4"/>
  <c r="R38" i="4"/>
  <c r="S38" i="4"/>
  <c r="Q38" i="4"/>
  <c r="L51" i="6"/>
  <c r="L51" i="4"/>
  <c r="I52" i="6"/>
  <c r="Y53" i="4"/>
  <c r="H52" i="6"/>
  <c r="H52" i="4"/>
  <c r="D37" i="6"/>
  <c r="F37" i="6"/>
  <c r="M52" i="4"/>
  <c r="B54" i="6"/>
  <c r="A53" i="6"/>
  <c r="I53" i="6"/>
  <c r="J53" i="4"/>
  <c r="K53" i="6"/>
  <c r="K53" i="4"/>
  <c r="R37" i="6"/>
  <c r="S37" i="6"/>
  <c r="Q37" i="6"/>
  <c r="B55" i="4"/>
  <c r="A54" i="4"/>
  <c r="O54" i="4" a="1"/>
  <c r="O54" i="4"/>
  <c r="B43" i="5"/>
  <c r="A43" i="5"/>
  <c r="C55" i="4"/>
  <c r="C54" i="6"/>
  <c r="E39" i="4"/>
  <c r="D39" i="4"/>
  <c r="F39" i="4"/>
  <c r="Y54" i="4"/>
  <c r="O53" i="6" a="1"/>
  <c r="O53" i="6"/>
  <c r="I52" i="4"/>
  <c r="L52" i="6"/>
  <c r="L52" i="4"/>
  <c r="E38" i="6"/>
  <c r="G38" i="6"/>
  <c r="H53" i="6"/>
  <c r="H53" i="4"/>
  <c r="M53" i="4"/>
  <c r="L53" i="6"/>
  <c r="L53" i="4"/>
  <c r="I53" i="4"/>
  <c r="B55" i="6"/>
  <c r="J54" i="4"/>
  <c r="K54" i="6"/>
  <c r="K54" i="4"/>
  <c r="A54" i="6"/>
  <c r="I54" i="6"/>
  <c r="B56" i="4"/>
  <c r="A55" i="4"/>
  <c r="Y55" i="4"/>
  <c r="A44" i="5"/>
  <c r="B44" i="5"/>
  <c r="C55" i="6"/>
  <c r="C56" i="4"/>
  <c r="E40" i="4"/>
  <c r="G40" i="4"/>
  <c r="Q40" i="4"/>
  <c r="G39" i="4"/>
  <c r="V39" i="4"/>
  <c r="D38" i="6"/>
  <c r="F38" i="6"/>
  <c r="O54" i="6" a="1"/>
  <c r="O54" i="6"/>
  <c r="H54" i="6"/>
  <c r="H54" i="4"/>
  <c r="O55" i="4" a="1"/>
  <c r="O55" i="4"/>
  <c r="B56" i="6"/>
  <c r="A55" i="6"/>
  <c r="I55" i="6"/>
  <c r="J55" i="4"/>
  <c r="K55" i="6"/>
  <c r="K55" i="4"/>
  <c r="M54" i="4"/>
  <c r="L54" i="6"/>
  <c r="L54" i="4"/>
  <c r="I54" i="4"/>
  <c r="R38" i="6"/>
  <c r="S38" i="6"/>
  <c r="Q38" i="6"/>
  <c r="B57" i="4"/>
  <c r="A56" i="4"/>
  <c r="Y56" i="4"/>
  <c r="B45" i="5"/>
  <c r="A45" i="5"/>
  <c r="C57" i="4"/>
  <c r="C56" i="6"/>
  <c r="V40" i="4"/>
  <c r="R40" i="4"/>
  <c r="S40" i="4"/>
  <c r="R39" i="4"/>
  <c r="S39" i="4"/>
  <c r="Q39" i="4"/>
  <c r="D40" i="4"/>
  <c r="E41" i="4"/>
  <c r="G41" i="4"/>
  <c r="E39" i="6"/>
  <c r="D39" i="6"/>
  <c r="F39" i="6"/>
  <c r="M55" i="4"/>
  <c r="O55" i="6" a="1"/>
  <c r="O55" i="6"/>
  <c r="L55" i="6"/>
  <c r="L55" i="4"/>
  <c r="I55" i="4"/>
  <c r="H55" i="6"/>
  <c r="H55" i="4"/>
  <c r="B57" i="6"/>
  <c r="K56" i="6"/>
  <c r="K56" i="4"/>
  <c r="A56" i="6"/>
  <c r="I56" i="6"/>
  <c r="I56" i="4"/>
  <c r="J56" i="4"/>
  <c r="O56" i="4" a="1"/>
  <c r="O56" i="4"/>
  <c r="B58" i="4"/>
  <c r="A57" i="4"/>
  <c r="Y57" i="4"/>
  <c r="A46" i="5"/>
  <c r="B46" i="5"/>
  <c r="C57" i="6"/>
  <c r="C58" i="4"/>
  <c r="D41" i="4"/>
  <c r="F41" i="4"/>
  <c r="F40" i="4"/>
  <c r="G39" i="6"/>
  <c r="R39" i="6"/>
  <c r="S39" i="6"/>
  <c r="Q41" i="4"/>
  <c r="V41" i="4"/>
  <c r="R41" i="4"/>
  <c r="S41" i="4"/>
  <c r="O57" i="4" a="1"/>
  <c r="O57" i="4"/>
  <c r="H56" i="6"/>
  <c r="H56" i="4"/>
  <c r="M56" i="4"/>
  <c r="L56" i="6"/>
  <c r="L56" i="4"/>
  <c r="B58" i="6"/>
  <c r="A57" i="6"/>
  <c r="I57" i="6"/>
  <c r="J57" i="4"/>
  <c r="K57" i="6"/>
  <c r="K57" i="4"/>
  <c r="O56" i="6" a="1"/>
  <c r="O56" i="6"/>
  <c r="E40" i="6"/>
  <c r="G40" i="6"/>
  <c r="B59" i="4"/>
  <c r="A58" i="4"/>
  <c r="Y58" i="4"/>
  <c r="B47" i="5"/>
  <c r="A47" i="5"/>
  <c r="C58" i="6"/>
  <c r="C59" i="4"/>
  <c r="E42" i="4"/>
  <c r="D42" i="4"/>
  <c r="F42" i="4"/>
  <c r="Q39" i="6"/>
  <c r="O58" i="4" a="1"/>
  <c r="O58" i="4"/>
  <c r="O57" i="6" a="1"/>
  <c r="O57" i="6"/>
  <c r="M57" i="4"/>
  <c r="L57" i="6"/>
  <c r="L57" i="4"/>
  <c r="I57" i="4"/>
  <c r="H57" i="6"/>
  <c r="H57" i="4"/>
  <c r="B59" i="6"/>
  <c r="K58" i="6"/>
  <c r="K58" i="4"/>
  <c r="A58" i="6"/>
  <c r="I58" i="6"/>
  <c r="J58" i="4"/>
  <c r="D40" i="6"/>
  <c r="Q40" i="6"/>
  <c r="R40" i="6"/>
  <c r="S40" i="6"/>
  <c r="A59" i="4"/>
  <c r="Y59" i="4"/>
  <c r="B60" i="4"/>
  <c r="B48" i="5"/>
  <c r="A48" i="5"/>
  <c r="C59" i="6"/>
  <c r="C60" i="4"/>
  <c r="G42" i="4"/>
  <c r="V42" i="4"/>
  <c r="E43" i="4"/>
  <c r="D43" i="4"/>
  <c r="F43" i="4"/>
  <c r="O58" i="6" a="1"/>
  <c r="O58" i="6"/>
  <c r="H58" i="6"/>
  <c r="H58" i="4"/>
  <c r="B60" i="6"/>
  <c r="A59" i="6"/>
  <c r="I59" i="6"/>
  <c r="K59" i="6"/>
  <c r="K59" i="4"/>
  <c r="J59" i="4"/>
  <c r="M58" i="4"/>
  <c r="L58" i="6"/>
  <c r="L58" i="4"/>
  <c r="I58" i="4"/>
  <c r="F40" i="6"/>
  <c r="E41" i="6"/>
  <c r="A60" i="4"/>
  <c r="O60" i="4" a="1"/>
  <c r="O60" i="4"/>
  <c r="B61" i="4"/>
  <c r="B49" i="5"/>
  <c r="A49" i="5"/>
  <c r="O59" i="4" a="1"/>
  <c r="O59" i="4"/>
  <c r="C61" i="4"/>
  <c r="C60" i="6"/>
  <c r="Q42" i="4"/>
  <c r="R42" i="4"/>
  <c r="S42" i="4"/>
  <c r="G43" i="4"/>
  <c r="V43" i="4"/>
  <c r="E44" i="4"/>
  <c r="G44" i="4"/>
  <c r="Y60" i="4"/>
  <c r="M59" i="4"/>
  <c r="H59" i="6"/>
  <c r="H59" i="4"/>
  <c r="L59" i="6"/>
  <c r="L59" i="4"/>
  <c r="I59" i="4"/>
  <c r="O59" i="6" a="1"/>
  <c r="O59" i="6"/>
  <c r="B61" i="6"/>
  <c r="J60" i="4"/>
  <c r="K60" i="6"/>
  <c r="K60" i="4"/>
  <c r="A60" i="6"/>
  <c r="I60" i="6"/>
  <c r="G41" i="6"/>
  <c r="D41" i="6"/>
  <c r="A61" i="4"/>
  <c r="O61" i="4" a="1"/>
  <c r="O61" i="4"/>
  <c r="B62" i="4"/>
  <c r="B50" i="5"/>
  <c r="A50" i="5"/>
  <c r="C61" i="6"/>
  <c r="C62" i="4"/>
  <c r="Q43" i="4"/>
  <c r="R43" i="4"/>
  <c r="S43" i="4"/>
  <c r="D44" i="4"/>
  <c r="F44" i="4"/>
  <c r="R44" i="4"/>
  <c r="S44" i="4"/>
  <c r="Q44" i="4"/>
  <c r="V44" i="4"/>
  <c r="H60" i="6"/>
  <c r="H60" i="4"/>
  <c r="B62" i="6"/>
  <c r="A61" i="6"/>
  <c r="I61" i="6"/>
  <c r="K61" i="6"/>
  <c r="K61" i="4"/>
  <c r="J61" i="4"/>
  <c r="Y61" i="4"/>
  <c r="M60" i="4"/>
  <c r="L60" i="6"/>
  <c r="L60" i="4"/>
  <c r="I60" i="4"/>
  <c r="O60" i="6" a="1"/>
  <c r="O60" i="6"/>
  <c r="F41" i="6"/>
  <c r="E42" i="6"/>
  <c r="Q41" i="6"/>
  <c r="R41" i="6"/>
  <c r="S41" i="6"/>
  <c r="B63" i="4"/>
  <c r="A62" i="4"/>
  <c r="O62" i="4" a="1"/>
  <c r="O62" i="4"/>
  <c r="B51" i="5"/>
  <c r="A51" i="5"/>
  <c r="C63" i="4"/>
  <c r="C62" i="6"/>
  <c r="E45" i="4"/>
  <c r="G45" i="4"/>
  <c r="O61" i="6" a="1"/>
  <c r="O61" i="6"/>
  <c r="M61" i="4"/>
  <c r="L61" i="6"/>
  <c r="L61" i="4"/>
  <c r="I61" i="4"/>
  <c r="H61" i="6"/>
  <c r="H61" i="4"/>
  <c r="Y62" i="4"/>
  <c r="B63" i="6"/>
  <c r="A62" i="6"/>
  <c r="I62" i="6"/>
  <c r="J62" i="4"/>
  <c r="K62" i="6"/>
  <c r="K62" i="4"/>
  <c r="G42" i="6"/>
  <c r="D42" i="6"/>
  <c r="F42" i="6"/>
  <c r="B64" i="4"/>
  <c r="A63" i="4"/>
  <c r="Y63" i="4"/>
  <c r="A52" i="5"/>
  <c r="B52" i="5"/>
  <c r="C64" i="4"/>
  <c r="C63" i="6"/>
  <c r="D45" i="4"/>
  <c r="F45" i="4"/>
  <c r="V45" i="4"/>
  <c r="Q45" i="4"/>
  <c r="R45" i="4"/>
  <c r="S45" i="4"/>
  <c r="M62" i="4"/>
  <c r="O63" i="4" a="1"/>
  <c r="O63" i="4"/>
  <c r="H62" i="6"/>
  <c r="H62" i="4"/>
  <c r="L62" i="6"/>
  <c r="L62" i="4"/>
  <c r="I62" i="4"/>
  <c r="B64" i="6"/>
  <c r="A63" i="6"/>
  <c r="I63" i="6"/>
  <c r="K63" i="6"/>
  <c r="K63" i="4"/>
  <c r="J63" i="4"/>
  <c r="O62" i="6" a="1"/>
  <c r="O62" i="6"/>
  <c r="Q42" i="6"/>
  <c r="R42" i="6"/>
  <c r="S42" i="6"/>
  <c r="E43" i="6"/>
  <c r="B65" i="4"/>
  <c r="A64" i="4"/>
  <c r="Y64" i="4"/>
  <c r="B53" i="5"/>
  <c r="A53" i="5"/>
  <c r="C64" i="6"/>
  <c r="C65" i="4"/>
  <c r="E46" i="4"/>
  <c r="D46" i="4"/>
  <c r="F46" i="4"/>
  <c r="H63" i="6"/>
  <c r="H63" i="4"/>
  <c r="O63" i="6" a="1"/>
  <c r="O63" i="6"/>
  <c r="M63" i="4"/>
  <c r="L63" i="6"/>
  <c r="L63" i="4"/>
  <c r="I63" i="4"/>
  <c r="B65" i="6"/>
  <c r="A64" i="6"/>
  <c r="I64" i="6"/>
  <c r="J64" i="4"/>
  <c r="K64" i="6"/>
  <c r="K64" i="4"/>
  <c r="O64" i="4" a="1"/>
  <c r="O64" i="4"/>
  <c r="D43" i="6"/>
  <c r="F43" i="6"/>
  <c r="G43" i="6"/>
  <c r="B66" i="4"/>
  <c r="A65" i="4"/>
  <c r="Y65" i="4"/>
  <c r="B54" i="5"/>
  <c r="A54" i="5"/>
  <c r="C65" i="6"/>
  <c r="C66" i="4"/>
  <c r="E47" i="4"/>
  <c r="G47" i="4"/>
  <c r="G46" i="4"/>
  <c r="V46" i="4"/>
  <c r="O65" i="4" a="1"/>
  <c r="O65" i="4"/>
  <c r="H64" i="6"/>
  <c r="H64" i="4"/>
  <c r="O64" i="6" a="1"/>
  <c r="O64" i="6"/>
  <c r="E44" i="6"/>
  <c r="D44" i="6"/>
  <c r="L64" i="6"/>
  <c r="L64" i="4"/>
  <c r="I64" i="4"/>
  <c r="B66" i="6"/>
  <c r="A65" i="6"/>
  <c r="I65" i="6"/>
  <c r="J65" i="4"/>
  <c r="K65" i="6"/>
  <c r="K65" i="4"/>
  <c r="M64" i="4"/>
  <c r="Q43" i="6"/>
  <c r="R43" i="6"/>
  <c r="S43" i="6"/>
  <c r="B67" i="4"/>
  <c r="A66" i="4"/>
  <c r="O66" i="4" a="1"/>
  <c r="O66" i="4"/>
  <c r="B55" i="5"/>
  <c r="A55" i="5"/>
  <c r="C66" i="6"/>
  <c r="C67" i="4"/>
  <c r="R46" i="4"/>
  <c r="S46" i="4"/>
  <c r="Q46" i="4"/>
  <c r="D47" i="4"/>
  <c r="F47" i="4"/>
  <c r="Q47" i="4"/>
  <c r="R47" i="4"/>
  <c r="S47" i="4"/>
  <c r="V47" i="4"/>
  <c r="G44" i="6"/>
  <c r="Q44" i="6"/>
  <c r="M65" i="4"/>
  <c r="Y66" i="4"/>
  <c r="H65" i="6"/>
  <c r="H65" i="4"/>
  <c r="L65" i="6"/>
  <c r="L65" i="4"/>
  <c r="I65" i="4"/>
  <c r="O65" i="6" a="1"/>
  <c r="O65" i="6"/>
  <c r="B67" i="6"/>
  <c r="A66" i="6"/>
  <c r="I66" i="6"/>
  <c r="J66" i="4"/>
  <c r="K66" i="6"/>
  <c r="K66" i="4"/>
  <c r="F44" i="6"/>
  <c r="E45" i="6"/>
  <c r="A67" i="4"/>
  <c r="Y67" i="4"/>
  <c r="B68" i="4"/>
  <c r="B56" i="5"/>
  <c r="A56" i="5"/>
  <c r="C67" i="6"/>
  <c r="C68" i="4"/>
  <c r="E48" i="4"/>
  <c r="D48" i="4"/>
  <c r="F48" i="4"/>
  <c r="R44" i="6"/>
  <c r="S44" i="6"/>
  <c r="O67" i="4" a="1"/>
  <c r="O67" i="4"/>
  <c r="M66" i="4"/>
  <c r="O66" i="6" a="1"/>
  <c r="O66" i="6"/>
  <c r="L66" i="6"/>
  <c r="L66" i="4"/>
  <c r="I66" i="4"/>
  <c r="B68" i="6"/>
  <c r="A67" i="6"/>
  <c r="I67" i="6"/>
  <c r="K67" i="6"/>
  <c r="K67" i="4"/>
  <c r="H66" i="6"/>
  <c r="H66" i="4"/>
  <c r="G45" i="6"/>
  <c r="D45" i="6"/>
  <c r="A68" i="4"/>
  <c r="Y68" i="4"/>
  <c r="B69" i="4"/>
  <c r="B57" i="5"/>
  <c r="A57" i="5"/>
  <c r="C69" i="4"/>
  <c r="C68" i="6"/>
  <c r="G48" i="4"/>
  <c r="Q48" i="4"/>
  <c r="E49" i="4"/>
  <c r="G49" i="4"/>
  <c r="O67" i="6" a="1"/>
  <c r="O67" i="6"/>
  <c r="O68" i="4" a="1"/>
  <c r="O68" i="4"/>
  <c r="H67" i="6"/>
  <c r="H67" i="4"/>
  <c r="L67" i="6"/>
  <c r="L67" i="4"/>
  <c r="I67" i="4"/>
  <c r="B69" i="6"/>
  <c r="A68" i="6"/>
  <c r="I68" i="6"/>
  <c r="K68" i="6"/>
  <c r="K68" i="4"/>
  <c r="M67" i="4"/>
  <c r="J67" i="4"/>
  <c r="F45" i="6"/>
  <c r="E46" i="6"/>
  <c r="Q45" i="6"/>
  <c r="R45" i="6"/>
  <c r="S45" i="6"/>
  <c r="A69" i="4"/>
  <c r="Y69" i="4"/>
  <c r="B70" i="4"/>
  <c r="B58" i="5"/>
  <c r="A58" i="5"/>
  <c r="C69" i="6"/>
  <c r="C70" i="4"/>
  <c r="R48" i="4"/>
  <c r="S48" i="4"/>
  <c r="V48" i="4"/>
  <c r="D49" i="4"/>
  <c r="Q49" i="4"/>
  <c r="V49" i="4"/>
  <c r="R49" i="4"/>
  <c r="S49" i="4"/>
  <c r="O68" i="6" a="1"/>
  <c r="O68" i="6"/>
  <c r="H68" i="6"/>
  <c r="H68" i="4"/>
  <c r="O69" i="4" a="1"/>
  <c r="O69" i="4"/>
  <c r="M68" i="4"/>
  <c r="J68" i="4"/>
  <c r="B70" i="6"/>
  <c r="K69" i="6"/>
  <c r="K69" i="4"/>
  <c r="A69" i="6"/>
  <c r="I69" i="6"/>
  <c r="L68" i="6"/>
  <c r="L68" i="4"/>
  <c r="I68" i="4"/>
  <c r="D46" i="6"/>
  <c r="F46" i="6"/>
  <c r="G46" i="6"/>
  <c r="B71" i="4"/>
  <c r="A70" i="4"/>
  <c r="Y70" i="4"/>
  <c r="B59" i="5"/>
  <c r="A59" i="5"/>
  <c r="C71" i="4"/>
  <c r="C70" i="6"/>
  <c r="F49" i="4"/>
  <c r="E50" i="4"/>
  <c r="O69" i="6" a="1"/>
  <c r="O69" i="6"/>
  <c r="O70" i="4" a="1"/>
  <c r="O70" i="4"/>
  <c r="B71" i="6"/>
  <c r="A70" i="6"/>
  <c r="I70" i="6"/>
  <c r="K70" i="6"/>
  <c r="K70" i="4"/>
  <c r="H69" i="6"/>
  <c r="H69" i="4"/>
  <c r="L69" i="6"/>
  <c r="L69" i="4"/>
  <c r="I69" i="4"/>
  <c r="M69" i="4"/>
  <c r="J69" i="4"/>
  <c r="Q46" i="6"/>
  <c r="R46" i="6"/>
  <c r="S46" i="6"/>
  <c r="E47" i="6"/>
  <c r="B72" i="4"/>
  <c r="A71" i="4"/>
  <c r="Y71" i="4"/>
  <c r="B60" i="5"/>
  <c r="A60" i="5"/>
  <c r="C72" i="4"/>
  <c r="C71" i="6"/>
  <c r="G50" i="4"/>
  <c r="D50" i="4"/>
  <c r="F50" i="4"/>
  <c r="H70" i="6"/>
  <c r="H70" i="4"/>
  <c r="O70" i="6" a="1"/>
  <c r="O70" i="6"/>
  <c r="O71" i="4" a="1"/>
  <c r="O71" i="4"/>
  <c r="M70" i="4"/>
  <c r="J70" i="4"/>
  <c r="L70" i="6"/>
  <c r="L70" i="4"/>
  <c r="I70" i="4"/>
  <c r="B72" i="6"/>
  <c r="K71" i="6"/>
  <c r="K71" i="4"/>
  <c r="A71" i="6"/>
  <c r="I71" i="6"/>
  <c r="I71" i="4"/>
  <c r="G47" i="6"/>
  <c r="D47" i="6"/>
  <c r="F47" i="6"/>
  <c r="B73" i="4"/>
  <c r="A72" i="4"/>
  <c r="Y72" i="4"/>
  <c r="B61" i="5"/>
  <c r="A61" i="5"/>
  <c r="C72" i="6"/>
  <c r="C73" i="4"/>
  <c r="E51" i="4"/>
  <c r="V50" i="4"/>
  <c r="Q50" i="4"/>
  <c r="R50" i="4"/>
  <c r="S50" i="4"/>
  <c r="H71" i="6"/>
  <c r="H71" i="4"/>
  <c r="O72" i="4" a="1"/>
  <c r="O72" i="4"/>
  <c r="O71" i="6" a="1"/>
  <c r="O71" i="6"/>
  <c r="L71" i="6"/>
  <c r="L71" i="4"/>
  <c r="B73" i="6"/>
  <c r="A72" i="6"/>
  <c r="I72" i="6"/>
  <c r="I72" i="4"/>
  <c r="K72" i="6"/>
  <c r="K72" i="4"/>
  <c r="J72" i="4"/>
  <c r="M71" i="4"/>
  <c r="J71" i="4"/>
  <c r="E48" i="6"/>
  <c r="D48" i="6"/>
  <c r="F48" i="6"/>
  <c r="R47" i="6"/>
  <c r="S47" i="6"/>
  <c r="Q47" i="6"/>
  <c r="B74" i="4"/>
  <c r="A73" i="4"/>
  <c r="O73" i="4" a="1"/>
  <c r="O73" i="4"/>
  <c r="A62" i="5"/>
  <c r="B62" i="5"/>
  <c r="C73" i="6"/>
  <c r="C74" i="4"/>
  <c r="G51" i="4"/>
  <c r="D51" i="4"/>
  <c r="F51" i="4"/>
  <c r="G48" i="6"/>
  <c r="R48" i="6"/>
  <c r="S48" i="6"/>
  <c r="L72" i="6"/>
  <c r="L72" i="4"/>
  <c r="H72" i="6"/>
  <c r="H72" i="4"/>
  <c r="O72" i="6" a="1"/>
  <c r="O72" i="6"/>
  <c r="E49" i="6"/>
  <c r="D49" i="6"/>
  <c r="F49" i="6"/>
  <c r="M72" i="4"/>
  <c r="Y73" i="4"/>
  <c r="B74" i="6"/>
  <c r="A73" i="6"/>
  <c r="I73" i="6"/>
  <c r="I73" i="4"/>
  <c r="K73" i="6"/>
  <c r="K73" i="4"/>
  <c r="J73" i="4"/>
  <c r="B75" i="4"/>
  <c r="A74" i="4"/>
  <c r="O74" i="4" a="1"/>
  <c r="O74" i="4"/>
  <c r="B63" i="5"/>
  <c r="A63" i="5"/>
  <c r="C74" i="6"/>
  <c r="C75" i="4"/>
  <c r="E52" i="4"/>
  <c r="G52" i="4"/>
  <c r="Q48" i="6"/>
  <c r="R51" i="4"/>
  <c r="S51" i="4"/>
  <c r="Q51" i="4"/>
  <c r="V51" i="4"/>
  <c r="H73" i="6"/>
  <c r="H73" i="4"/>
  <c r="O73" i="6" a="1"/>
  <c r="O73" i="6"/>
  <c r="Y74" i="4"/>
  <c r="M73" i="4"/>
  <c r="G49" i="6"/>
  <c r="R49" i="6"/>
  <c r="S49" i="6"/>
  <c r="L73" i="6"/>
  <c r="L73" i="4"/>
  <c r="B75" i="6"/>
  <c r="K74" i="6"/>
  <c r="K74" i="4"/>
  <c r="A74" i="6"/>
  <c r="I74" i="6"/>
  <c r="J74" i="4"/>
  <c r="E50" i="6"/>
  <c r="G50" i="6"/>
  <c r="A75" i="4"/>
  <c r="Y75" i="4"/>
  <c r="B76" i="4"/>
  <c r="B64" i="5"/>
  <c r="A64" i="5"/>
  <c r="C76" i="4"/>
  <c r="C75" i="6"/>
  <c r="D52" i="4"/>
  <c r="R52" i="4"/>
  <c r="S52" i="4"/>
  <c r="Q52" i="4"/>
  <c r="V52" i="4"/>
  <c r="O75" i="4" a="1"/>
  <c r="O75" i="4"/>
  <c r="O74" i="6" a="1"/>
  <c r="O74" i="6"/>
  <c r="Q49" i="6"/>
  <c r="D50" i="6"/>
  <c r="F50" i="6"/>
  <c r="M74" i="4"/>
  <c r="H74" i="6"/>
  <c r="H74" i="4"/>
  <c r="L74" i="6"/>
  <c r="L74" i="4"/>
  <c r="I74" i="4"/>
  <c r="B76" i="6"/>
  <c r="A75" i="6"/>
  <c r="I75" i="6"/>
  <c r="K75" i="6"/>
  <c r="K75" i="4"/>
  <c r="J75" i="4"/>
  <c r="R50" i="6"/>
  <c r="S50" i="6"/>
  <c r="Q50" i="6"/>
  <c r="A76" i="4"/>
  <c r="Y76" i="4"/>
  <c r="B77" i="4"/>
  <c r="B65" i="5"/>
  <c r="A65" i="5"/>
  <c r="C76" i="6"/>
  <c r="C77" i="4"/>
  <c r="F52" i="4"/>
  <c r="E53" i="4"/>
  <c r="E51" i="6"/>
  <c r="M75" i="4"/>
  <c r="O75" i="6" a="1"/>
  <c r="O75" i="6"/>
  <c r="L75" i="6"/>
  <c r="L75" i="4"/>
  <c r="I75" i="4"/>
  <c r="B77" i="6"/>
  <c r="A76" i="6"/>
  <c r="I76" i="6"/>
  <c r="K76" i="6"/>
  <c r="K76" i="4"/>
  <c r="O76" i="4" a="1"/>
  <c r="O76" i="4"/>
  <c r="H75" i="6"/>
  <c r="H75" i="4"/>
  <c r="A77" i="4"/>
  <c r="O77" i="4" a="1"/>
  <c r="O77" i="4"/>
  <c r="B78" i="4"/>
  <c r="B66" i="5"/>
  <c r="A66" i="5"/>
  <c r="C78" i="4"/>
  <c r="C77" i="6"/>
  <c r="G53" i="4"/>
  <c r="D53" i="4"/>
  <c r="F53" i="4"/>
  <c r="H76" i="6"/>
  <c r="H76" i="4"/>
  <c r="Y77" i="4"/>
  <c r="D51" i="6"/>
  <c r="G51" i="6"/>
  <c r="O76" i="6" a="1"/>
  <c r="O76" i="6"/>
  <c r="L76" i="6"/>
  <c r="L76" i="4"/>
  <c r="I76" i="4"/>
  <c r="B78" i="6"/>
  <c r="A77" i="6"/>
  <c r="I77" i="6"/>
  <c r="K77" i="6"/>
  <c r="K77" i="4"/>
  <c r="J77" i="4"/>
  <c r="M76" i="4"/>
  <c r="J76" i="4"/>
  <c r="B79" i="4"/>
  <c r="A78" i="4"/>
  <c r="O78" i="4" a="1"/>
  <c r="O78" i="4"/>
  <c r="B67" i="5"/>
  <c r="A67" i="5"/>
  <c r="C79" i="4"/>
  <c r="C78" i="6"/>
  <c r="E54" i="4"/>
  <c r="D54" i="4"/>
  <c r="R53" i="4"/>
  <c r="S53" i="4"/>
  <c r="Q53" i="4"/>
  <c r="V53" i="4"/>
  <c r="Y78" i="4"/>
  <c r="F51" i="6"/>
  <c r="E52" i="6"/>
  <c r="R51" i="6"/>
  <c r="S51" i="6"/>
  <c r="Q51" i="6"/>
  <c r="M77" i="4"/>
  <c r="H77" i="6"/>
  <c r="H77" i="4"/>
  <c r="L77" i="6"/>
  <c r="L77" i="4"/>
  <c r="I77" i="4"/>
  <c r="A78" i="6"/>
  <c r="I78" i="6"/>
  <c r="I78" i="4"/>
  <c r="K78" i="6"/>
  <c r="K78" i="4"/>
  <c r="B79" i="6"/>
  <c r="O77" i="6" a="1"/>
  <c r="O77" i="6"/>
  <c r="B80" i="4"/>
  <c r="A79" i="4"/>
  <c r="O79" i="4" a="1"/>
  <c r="O79" i="4"/>
  <c r="A68" i="5"/>
  <c r="B68" i="5"/>
  <c r="C79" i="6"/>
  <c r="C80" i="4"/>
  <c r="G54" i="4"/>
  <c r="R54" i="4"/>
  <c r="S54" i="4"/>
  <c r="F54" i="4"/>
  <c r="E55" i="4"/>
  <c r="Y79" i="4"/>
  <c r="O78" i="6" a="1"/>
  <c r="O78" i="6"/>
  <c r="D52" i="6"/>
  <c r="G52" i="6"/>
  <c r="B80" i="6"/>
  <c r="A79" i="6"/>
  <c r="O79" i="6" a="1"/>
  <c r="O79" i="6"/>
  <c r="K79" i="6"/>
  <c r="K79" i="4"/>
  <c r="J79" i="4"/>
  <c r="L78" i="6"/>
  <c r="L78" i="4"/>
  <c r="H78" i="6"/>
  <c r="H78" i="4"/>
  <c r="M78" i="4"/>
  <c r="J78" i="4"/>
  <c r="B81" i="4"/>
  <c r="A80" i="4"/>
  <c r="Y80" i="4"/>
  <c r="B69" i="5"/>
  <c r="A69" i="5"/>
  <c r="C81" i="4"/>
  <c r="C80" i="6"/>
  <c r="V54" i="4"/>
  <c r="Q54" i="4"/>
  <c r="H79" i="6"/>
  <c r="H79" i="4"/>
  <c r="G55" i="4"/>
  <c r="D55" i="4"/>
  <c r="F55" i="4"/>
  <c r="I79" i="6"/>
  <c r="I79" i="4"/>
  <c r="F52" i="6"/>
  <c r="E53" i="6"/>
  <c r="R52" i="6"/>
  <c r="S52" i="6"/>
  <c r="Q52" i="6"/>
  <c r="M79" i="4"/>
  <c r="O80" i="4" a="1"/>
  <c r="O80" i="4"/>
  <c r="J80" i="4"/>
  <c r="B81" i="6"/>
  <c r="K80" i="6"/>
  <c r="K80" i="4"/>
  <c r="A80" i="6"/>
  <c r="I80" i="6"/>
  <c r="B82" i="4"/>
  <c r="A81" i="4"/>
  <c r="Y81" i="4"/>
  <c r="B70" i="5"/>
  <c r="A70" i="5"/>
  <c r="C82" i="4"/>
  <c r="C81" i="6"/>
  <c r="E56" i="4"/>
  <c r="D56" i="4"/>
  <c r="Q55" i="4"/>
  <c r="V55" i="4"/>
  <c r="R55" i="4"/>
  <c r="S55" i="4"/>
  <c r="L79" i="6"/>
  <c r="L79" i="4"/>
  <c r="O80" i="6" a="1"/>
  <c r="O80" i="6"/>
  <c r="H80" i="6"/>
  <c r="H80" i="4"/>
  <c r="I80" i="4"/>
  <c r="L80" i="6"/>
  <c r="L80" i="4"/>
  <c r="G53" i="6"/>
  <c r="D53" i="6"/>
  <c r="F53" i="6"/>
  <c r="M80" i="4"/>
  <c r="B82" i="6"/>
  <c r="K81" i="6"/>
  <c r="K81" i="4"/>
  <c r="A81" i="6"/>
  <c r="O81" i="6" a="1"/>
  <c r="O81" i="6"/>
  <c r="J81" i="4"/>
  <c r="O81" i="4" a="1"/>
  <c r="O81" i="4"/>
  <c r="B83" i="4"/>
  <c r="A82" i="4"/>
  <c r="O82" i="4" a="1"/>
  <c r="O82" i="4"/>
  <c r="B71" i="5"/>
  <c r="A71" i="5"/>
  <c r="C82" i="6"/>
  <c r="C83" i="4"/>
  <c r="G56" i="4"/>
  <c r="Q56" i="4"/>
  <c r="F56" i="4"/>
  <c r="E57" i="4"/>
  <c r="Y82" i="4"/>
  <c r="E54" i="6"/>
  <c r="D54" i="6"/>
  <c r="F54" i="6"/>
  <c r="I81" i="6"/>
  <c r="I81" i="4"/>
  <c r="R53" i="6"/>
  <c r="S53" i="6"/>
  <c r="Q53" i="6"/>
  <c r="M81" i="4"/>
  <c r="K82" i="6"/>
  <c r="K82" i="4"/>
  <c r="J82" i="4"/>
  <c r="A82" i="6"/>
  <c r="H82" i="6"/>
  <c r="H82" i="4"/>
  <c r="B83" i="6"/>
  <c r="H81" i="6"/>
  <c r="H81" i="4"/>
  <c r="A83" i="4"/>
  <c r="Y83" i="4"/>
  <c r="B84" i="4"/>
  <c r="B72" i="5"/>
  <c r="A72" i="5"/>
  <c r="C84" i="4"/>
  <c r="C83" i="6"/>
  <c r="R56" i="4"/>
  <c r="S56" i="4"/>
  <c r="V56" i="4"/>
  <c r="G57" i="4"/>
  <c r="D57" i="4"/>
  <c r="O83" i="4" a="1"/>
  <c r="O83" i="4"/>
  <c r="G54" i="6"/>
  <c r="R54" i="6"/>
  <c r="S54" i="6"/>
  <c r="L81" i="6"/>
  <c r="L81" i="4"/>
  <c r="E55" i="6"/>
  <c r="D55" i="6"/>
  <c r="O82" i="6" a="1"/>
  <c r="O82" i="6"/>
  <c r="I82" i="6"/>
  <c r="I82" i="4"/>
  <c r="B84" i="6"/>
  <c r="A83" i="6"/>
  <c r="H83" i="6"/>
  <c r="H83" i="4"/>
  <c r="K83" i="6"/>
  <c r="K83" i="4"/>
  <c r="J83" i="4"/>
  <c r="M82" i="4"/>
  <c r="A84" i="4"/>
  <c r="Y84" i="4"/>
  <c r="B85" i="4"/>
  <c r="B73" i="5"/>
  <c r="A73" i="5"/>
  <c r="C85" i="4"/>
  <c r="C84" i="6"/>
  <c r="F57" i="4"/>
  <c r="E58" i="4"/>
  <c r="V57" i="4"/>
  <c r="R57" i="4"/>
  <c r="S57" i="4"/>
  <c r="Q57" i="4"/>
  <c r="Q54" i="6"/>
  <c r="G55" i="6"/>
  <c r="Q55" i="6"/>
  <c r="L82" i="6"/>
  <c r="L82" i="4"/>
  <c r="I83" i="6"/>
  <c r="I83" i="4"/>
  <c r="O83" i="6" a="1"/>
  <c r="O83" i="6"/>
  <c r="F55" i="6"/>
  <c r="E56" i="6"/>
  <c r="K84" i="6"/>
  <c r="K84" i="4"/>
  <c r="B85" i="6"/>
  <c r="J84" i="4"/>
  <c r="A84" i="6"/>
  <c r="H84" i="6"/>
  <c r="H84" i="4"/>
  <c r="O84" i="4" a="1"/>
  <c r="O84" i="4"/>
  <c r="M83" i="4"/>
  <c r="A85" i="4"/>
  <c r="Y85" i="4"/>
  <c r="B86" i="4"/>
  <c r="A74" i="5"/>
  <c r="B74" i="5"/>
  <c r="C86" i="4"/>
  <c r="C85" i="6"/>
  <c r="G58" i="4"/>
  <c r="D58" i="4"/>
  <c r="F58" i="4"/>
  <c r="R55" i="6"/>
  <c r="S55" i="6"/>
  <c r="L83" i="6"/>
  <c r="L83" i="4"/>
  <c r="I84" i="6"/>
  <c r="I84" i="4"/>
  <c r="O84" i="6" a="1"/>
  <c r="O84" i="6"/>
  <c r="M84" i="4"/>
  <c r="G56" i="6"/>
  <c r="D56" i="6"/>
  <c r="F56" i="6"/>
  <c r="O85" i="4" a="1"/>
  <c r="O85" i="4"/>
  <c r="J85" i="4"/>
  <c r="B86" i="6"/>
  <c r="K85" i="6"/>
  <c r="K85" i="4"/>
  <c r="A85" i="6"/>
  <c r="O85" i="6" a="1"/>
  <c r="O85" i="6"/>
  <c r="B87" i="4"/>
  <c r="A86" i="4"/>
  <c r="Y86" i="4"/>
  <c r="B75" i="5"/>
  <c r="A75" i="5"/>
  <c r="C87" i="4"/>
  <c r="C86" i="6"/>
  <c r="E59" i="4"/>
  <c r="V58" i="4"/>
  <c r="Q58" i="4"/>
  <c r="R58" i="4"/>
  <c r="S58" i="4"/>
  <c r="L84" i="6"/>
  <c r="L84" i="4"/>
  <c r="E57" i="6"/>
  <c r="G57" i="6"/>
  <c r="R57" i="6"/>
  <c r="S57" i="6"/>
  <c r="R56" i="6"/>
  <c r="S56" i="6"/>
  <c r="Q56" i="6"/>
  <c r="H85" i="6"/>
  <c r="H85" i="4"/>
  <c r="A86" i="6"/>
  <c r="H86" i="6"/>
  <c r="H86" i="4"/>
  <c r="J86" i="4"/>
  <c r="K86" i="6"/>
  <c r="K86" i="4"/>
  <c r="B87" i="6"/>
  <c r="M85" i="4"/>
  <c r="I85" i="6"/>
  <c r="B88" i="4"/>
  <c r="A87" i="4"/>
  <c r="O87" i="4" a="1"/>
  <c r="O87" i="4"/>
  <c r="A76" i="5"/>
  <c r="B76" i="5"/>
  <c r="O86" i="4" a="1"/>
  <c r="O86" i="4"/>
  <c r="C87" i="6"/>
  <c r="C88" i="4"/>
  <c r="G59" i="4"/>
  <c r="D59" i="4"/>
  <c r="F59" i="4"/>
  <c r="Y87" i="4"/>
  <c r="Q57" i="6"/>
  <c r="D57" i="6"/>
  <c r="I85" i="4"/>
  <c r="L85" i="6"/>
  <c r="L85" i="4"/>
  <c r="M86" i="4"/>
  <c r="K87" i="6"/>
  <c r="K87" i="4"/>
  <c r="A87" i="6"/>
  <c r="O87" i="6" a="1"/>
  <c r="O87" i="6"/>
  <c r="B88" i="6"/>
  <c r="J87" i="4"/>
  <c r="O86" i="6" a="1"/>
  <c r="O86" i="6"/>
  <c r="I86" i="6"/>
  <c r="B89" i="4"/>
  <c r="A88" i="4"/>
  <c r="Y88" i="4"/>
  <c r="B77" i="5"/>
  <c r="A77" i="5"/>
  <c r="C89" i="4"/>
  <c r="C88" i="6"/>
  <c r="O88" i="4" a="1"/>
  <c r="O88" i="4"/>
  <c r="E60" i="4"/>
  <c r="G60" i="4"/>
  <c r="V59" i="4"/>
  <c r="Q59" i="4"/>
  <c r="R59" i="4"/>
  <c r="S59" i="4"/>
  <c r="E58" i="6"/>
  <c r="F57" i="6"/>
  <c r="M87" i="4"/>
  <c r="I87" i="6"/>
  <c r="H87" i="6"/>
  <c r="H87" i="4"/>
  <c r="B89" i="6"/>
  <c r="K88" i="6"/>
  <c r="K88" i="4"/>
  <c r="J88" i="4"/>
  <c r="A88" i="6"/>
  <c r="O88" i="6" a="1"/>
  <c r="O88" i="6"/>
  <c r="I86" i="4"/>
  <c r="L86" i="6"/>
  <c r="L86" i="4"/>
  <c r="B90" i="4"/>
  <c r="A89" i="4"/>
  <c r="O89" i="4" a="1"/>
  <c r="O89" i="4"/>
  <c r="X89" i="4"/>
  <c r="A78" i="5"/>
  <c r="B78" i="5"/>
  <c r="C89" i="6"/>
  <c r="C90" i="4"/>
  <c r="D60" i="4"/>
  <c r="F60" i="4"/>
  <c r="R60" i="4"/>
  <c r="S60" i="4"/>
  <c r="V60" i="4"/>
  <c r="Q60" i="4"/>
  <c r="Y89" i="4"/>
  <c r="I88" i="6"/>
  <c r="G58" i="6"/>
  <c r="D58" i="6"/>
  <c r="J89" i="4"/>
  <c r="K89" i="6"/>
  <c r="K89" i="4"/>
  <c r="B90" i="6"/>
  <c r="A89" i="6"/>
  <c r="I89" i="6"/>
  <c r="H88" i="6"/>
  <c r="H88" i="4"/>
  <c r="I87" i="4"/>
  <c r="L87" i="6"/>
  <c r="L87" i="4"/>
  <c r="M88" i="4"/>
  <c r="B91" i="4"/>
  <c r="A90" i="4"/>
  <c r="Y90" i="4"/>
  <c r="X90" i="4"/>
  <c r="B79" i="5"/>
  <c r="A79" i="5"/>
  <c r="C90" i="6"/>
  <c r="C91" i="4"/>
  <c r="E61" i="4"/>
  <c r="D61" i="4"/>
  <c r="F61" i="4"/>
  <c r="M89" i="4"/>
  <c r="H89" i="6"/>
  <c r="H89" i="4"/>
  <c r="O89" i="6" a="1"/>
  <c r="O89" i="6"/>
  <c r="I88" i="4"/>
  <c r="L88" i="6"/>
  <c r="L88" i="4"/>
  <c r="E59" i="6"/>
  <c r="F58" i="6"/>
  <c r="Q58" i="6"/>
  <c r="R58" i="6"/>
  <c r="S58" i="6"/>
  <c r="I89" i="4"/>
  <c r="L89" i="6"/>
  <c r="L89" i="4"/>
  <c r="Z89" i="4"/>
  <c r="C77" i="5"/>
  <c r="K90" i="6"/>
  <c r="K90" i="4"/>
  <c r="B91" i="6"/>
  <c r="J90" i="4"/>
  <c r="A90" i="6"/>
  <c r="I90" i="6"/>
  <c r="O90" i="4" a="1"/>
  <c r="O90" i="4"/>
  <c r="A91" i="4"/>
  <c r="Y91" i="4"/>
  <c r="B92" i="4"/>
  <c r="X91" i="4"/>
  <c r="A80" i="5"/>
  <c r="B80" i="5"/>
  <c r="C92" i="4"/>
  <c r="C91" i="6"/>
  <c r="E62" i="4"/>
  <c r="D62" i="4"/>
  <c r="F62" i="4"/>
  <c r="G61" i="4"/>
  <c r="D59" i="6"/>
  <c r="G59" i="6"/>
  <c r="I90" i="4"/>
  <c r="L90" i="6"/>
  <c r="L90" i="4"/>
  <c r="Z90" i="4"/>
  <c r="C78" i="5"/>
  <c r="D78" i="5"/>
  <c r="O91" i="4" a="1"/>
  <c r="O91" i="4"/>
  <c r="A91" i="6"/>
  <c r="H91" i="6"/>
  <c r="H91" i="4"/>
  <c r="J91" i="4"/>
  <c r="K91" i="6"/>
  <c r="K91" i="4"/>
  <c r="B92" i="6"/>
  <c r="M90" i="4"/>
  <c r="O90" i="6" a="1"/>
  <c r="O90" i="6"/>
  <c r="H90" i="6"/>
  <c r="H90" i="4"/>
  <c r="A92" i="4"/>
  <c r="O92" i="4" a="1"/>
  <c r="O92" i="4"/>
  <c r="B93" i="4"/>
  <c r="X92" i="4"/>
  <c r="A81" i="5"/>
  <c r="B81" i="5"/>
  <c r="C92" i="6"/>
  <c r="C93" i="4"/>
  <c r="E63" i="4"/>
  <c r="G63" i="4"/>
  <c r="Q63" i="4"/>
  <c r="G62" i="4"/>
  <c r="Q61" i="4"/>
  <c r="V61" i="4"/>
  <c r="R61" i="4"/>
  <c r="S61" i="4"/>
  <c r="Y92" i="4"/>
  <c r="I91" i="6"/>
  <c r="I91" i="4"/>
  <c r="Q59" i="6"/>
  <c r="R59" i="6"/>
  <c r="S59" i="6"/>
  <c r="F59" i="6"/>
  <c r="E60" i="6"/>
  <c r="J92" i="4"/>
  <c r="K92" i="6"/>
  <c r="K92" i="4"/>
  <c r="A92" i="6"/>
  <c r="H92" i="6"/>
  <c r="H92" i="4"/>
  <c r="B93" i="6"/>
  <c r="O91" i="6" a="1"/>
  <c r="O91" i="6"/>
  <c r="M91" i="4"/>
  <c r="A93" i="4"/>
  <c r="O93" i="4" a="1"/>
  <c r="O93" i="4"/>
  <c r="B94" i="4"/>
  <c r="X93" i="4"/>
  <c r="B82" i="5"/>
  <c r="A82" i="5"/>
  <c r="C93" i="6"/>
  <c r="C94" i="4"/>
  <c r="R63" i="4"/>
  <c r="S63" i="4"/>
  <c r="V63" i="4"/>
  <c r="D63" i="4"/>
  <c r="F63" i="4"/>
  <c r="V62" i="4"/>
  <c r="R62" i="4"/>
  <c r="S62" i="4"/>
  <c r="Q62" i="4"/>
  <c r="L91" i="6"/>
  <c r="L91" i="4"/>
  <c r="Z91" i="4"/>
  <c r="C79" i="5"/>
  <c r="D79" i="5"/>
  <c r="Y93" i="4"/>
  <c r="I92" i="6"/>
  <c r="I92" i="4"/>
  <c r="D60" i="6"/>
  <c r="F60" i="6"/>
  <c r="G60" i="6"/>
  <c r="M92" i="4"/>
  <c r="O92" i="6" a="1"/>
  <c r="O92" i="6"/>
  <c r="K93" i="6"/>
  <c r="K93" i="4"/>
  <c r="B94" i="6"/>
  <c r="A93" i="6"/>
  <c r="O93" i="6" a="1"/>
  <c r="O93" i="6"/>
  <c r="J93" i="4"/>
  <c r="B95" i="4"/>
  <c r="A94" i="4"/>
  <c r="O94" i="4" a="1"/>
  <c r="O94" i="4"/>
  <c r="X94" i="4"/>
  <c r="B83" i="5"/>
  <c r="A83" i="5"/>
  <c r="C94" i="6"/>
  <c r="C95" i="4"/>
  <c r="E64" i="4"/>
  <c r="G64" i="4"/>
  <c r="R64" i="4"/>
  <c r="S64" i="4"/>
  <c r="L92" i="6"/>
  <c r="L92" i="4"/>
  <c r="Z92" i="4"/>
  <c r="C80" i="5"/>
  <c r="D80" i="5"/>
  <c r="M93" i="4"/>
  <c r="R60" i="6"/>
  <c r="S60" i="6"/>
  <c r="Q60" i="6"/>
  <c r="E61" i="6"/>
  <c r="H93" i="6"/>
  <c r="H93" i="4"/>
  <c r="I93" i="6"/>
  <c r="K94" i="6"/>
  <c r="K94" i="4"/>
  <c r="B95" i="6"/>
  <c r="J94" i="4"/>
  <c r="A94" i="6"/>
  <c r="H94" i="6"/>
  <c r="H94" i="4"/>
  <c r="Y94" i="4"/>
  <c r="B96" i="4"/>
  <c r="A95" i="4"/>
  <c r="O95" i="4" a="1"/>
  <c r="O95" i="4"/>
  <c r="X95" i="4"/>
  <c r="B84" i="5"/>
  <c r="A84" i="5"/>
  <c r="C96" i="4"/>
  <c r="C95" i="6"/>
  <c r="D64" i="4"/>
  <c r="Q64" i="4"/>
  <c r="V64" i="4"/>
  <c r="O94" i="6" a="1"/>
  <c r="O94" i="6"/>
  <c r="D61" i="6"/>
  <c r="F61" i="6"/>
  <c r="G61" i="6"/>
  <c r="I94" i="6"/>
  <c r="K95" i="6"/>
  <c r="K95" i="4"/>
  <c r="A95" i="6"/>
  <c r="I95" i="6"/>
  <c r="B96" i="6"/>
  <c r="J95" i="4"/>
  <c r="M94" i="4"/>
  <c r="I93" i="4"/>
  <c r="L93" i="6"/>
  <c r="L93" i="4"/>
  <c r="Z93" i="4"/>
  <c r="C81" i="5"/>
  <c r="D81" i="5"/>
  <c r="Y95" i="4"/>
  <c r="B97" i="4"/>
  <c r="A96" i="4"/>
  <c r="Y96" i="4"/>
  <c r="X96" i="4"/>
  <c r="A85" i="5"/>
  <c r="B85" i="5"/>
  <c r="C97" i="4"/>
  <c r="C96" i="6"/>
  <c r="F64" i="4"/>
  <c r="E65" i="4"/>
  <c r="E62" i="6"/>
  <c r="D62" i="6"/>
  <c r="F62" i="6"/>
  <c r="O95" i="6" a="1"/>
  <c r="O95" i="6"/>
  <c r="R61" i="6"/>
  <c r="S61" i="6"/>
  <c r="Q61" i="6"/>
  <c r="I95" i="4"/>
  <c r="L95" i="6"/>
  <c r="L95" i="4"/>
  <c r="Z95" i="4"/>
  <c r="C83" i="5"/>
  <c r="H95" i="6"/>
  <c r="H95" i="4"/>
  <c r="K96" i="6"/>
  <c r="K96" i="4"/>
  <c r="A96" i="6"/>
  <c r="O96" i="6" a="1"/>
  <c r="O96" i="6"/>
  <c r="B97" i="6"/>
  <c r="J96" i="4"/>
  <c r="O96" i="4" a="1"/>
  <c r="O96" i="4"/>
  <c r="M95" i="4"/>
  <c r="I94" i="4"/>
  <c r="L94" i="6"/>
  <c r="L94" i="4"/>
  <c r="Z94" i="4"/>
  <c r="C82" i="5"/>
  <c r="D82" i="5"/>
  <c r="B98" i="4"/>
  <c r="X97" i="4"/>
  <c r="A97" i="4"/>
  <c r="A86" i="5"/>
  <c r="B86" i="5"/>
  <c r="C98" i="4"/>
  <c r="C97" i="6"/>
  <c r="D65" i="4"/>
  <c r="F65" i="4"/>
  <c r="G65" i="4"/>
  <c r="G62" i="6"/>
  <c r="R62" i="6"/>
  <c r="S62" i="6"/>
  <c r="E63" i="6"/>
  <c r="D63" i="6"/>
  <c r="M96" i="4"/>
  <c r="I96" i="6"/>
  <c r="I96" i="4"/>
  <c r="H96" i="6"/>
  <c r="H96" i="4"/>
  <c r="D83" i="5"/>
  <c r="A97" i="6"/>
  <c r="H97" i="6"/>
  <c r="H97" i="4"/>
  <c r="J97" i="4"/>
  <c r="K97" i="6"/>
  <c r="K97" i="4"/>
  <c r="B98" i="6"/>
  <c r="O97" i="4" a="1"/>
  <c r="O97" i="4"/>
  <c r="B99" i="4"/>
  <c r="A98" i="4"/>
  <c r="X98" i="4"/>
  <c r="B87" i="5"/>
  <c r="A87" i="5"/>
  <c r="Y97" i="4"/>
  <c r="C99" i="4"/>
  <c r="C98" i="6"/>
  <c r="E66" i="4"/>
  <c r="G66" i="4"/>
  <c r="V65" i="4"/>
  <c r="R65" i="4"/>
  <c r="S65" i="4"/>
  <c r="Q65" i="4"/>
  <c r="Q62" i="6"/>
  <c r="G63" i="6"/>
  <c r="R63" i="6"/>
  <c r="S63" i="6"/>
  <c r="L96" i="6"/>
  <c r="L96" i="4"/>
  <c r="Z96" i="4"/>
  <c r="C84" i="5"/>
  <c r="D84" i="5"/>
  <c r="O97" i="6" a="1"/>
  <c r="O97" i="6"/>
  <c r="I97" i="6"/>
  <c r="I97" i="4"/>
  <c r="F63" i="6"/>
  <c r="E64" i="6"/>
  <c r="M97" i="4"/>
  <c r="B99" i="6"/>
  <c r="K98" i="6"/>
  <c r="K98" i="4"/>
  <c r="A98" i="6"/>
  <c r="H98" i="6"/>
  <c r="H98" i="4"/>
  <c r="J98" i="4"/>
  <c r="Y98" i="4"/>
  <c r="O98" i="4" a="1"/>
  <c r="O98" i="4"/>
  <c r="A99" i="4"/>
  <c r="O99" i="4" a="1"/>
  <c r="O99" i="4"/>
  <c r="B100" i="4"/>
  <c r="X99" i="4"/>
  <c r="B88" i="5"/>
  <c r="A88" i="5"/>
  <c r="C100" i="4"/>
  <c r="C99" i="6"/>
  <c r="D66" i="4"/>
  <c r="F66" i="4"/>
  <c r="Q66" i="4"/>
  <c r="V66" i="4"/>
  <c r="R66" i="4"/>
  <c r="S66" i="4"/>
  <c r="Q63" i="6"/>
  <c r="L97" i="6"/>
  <c r="L97" i="4"/>
  <c r="Z97" i="4"/>
  <c r="C85" i="5"/>
  <c r="D85" i="5"/>
  <c r="I98" i="6"/>
  <c r="I98" i="4"/>
  <c r="O98" i="6" a="1"/>
  <c r="O98" i="6"/>
  <c r="G64" i="6"/>
  <c r="D64" i="6"/>
  <c r="F64" i="6"/>
  <c r="Y99" i="4"/>
  <c r="K99" i="6"/>
  <c r="K99" i="4"/>
  <c r="A99" i="6"/>
  <c r="O99" i="6" a="1"/>
  <c r="O99" i="6"/>
  <c r="B100" i="6"/>
  <c r="J99" i="4"/>
  <c r="M98" i="4"/>
  <c r="A100" i="4"/>
  <c r="B101" i="4"/>
  <c r="X100" i="4"/>
  <c r="A89" i="5"/>
  <c r="B89" i="5"/>
  <c r="C101" i="4"/>
  <c r="C100" i="6"/>
  <c r="E67" i="4"/>
  <c r="G67" i="4"/>
  <c r="H99" i="6"/>
  <c r="H99" i="4"/>
  <c r="L98" i="6"/>
  <c r="L98" i="4"/>
  <c r="Z98" i="4"/>
  <c r="C86" i="5"/>
  <c r="D86" i="5"/>
  <c r="E65" i="6"/>
  <c r="D65" i="6"/>
  <c r="M99" i="4"/>
  <c r="R64" i="6"/>
  <c r="S64" i="6"/>
  <c r="Q64" i="6"/>
  <c r="B101" i="6"/>
  <c r="A100" i="6"/>
  <c r="J100" i="4"/>
  <c r="K100" i="6"/>
  <c r="K100" i="4"/>
  <c r="O100" i="4" a="1"/>
  <c r="O100" i="4"/>
  <c r="I99" i="6"/>
  <c r="Y100" i="4"/>
  <c r="A101" i="4"/>
  <c r="B102" i="4"/>
  <c r="X101" i="4"/>
  <c r="B90" i="5"/>
  <c r="A90" i="5"/>
  <c r="C101" i="6"/>
  <c r="C102" i="4"/>
  <c r="D67" i="4"/>
  <c r="F67" i="4"/>
  <c r="R67" i="4"/>
  <c r="S67" i="4"/>
  <c r="Q67" i="4"/>
  <c r="V67" i="4"/>
  <c r="G65" i="6"/>
  <c r="Q65" i="6"/>
  <c r="F65" i="6"/>
  <c r="E66" i="6"/>
  <c r="Y101" i="4"/>
  <c r="H100" i="6"/>
  <c r="O101" i="4" a="1"/>
  <c r="O101" i="4"/>
  <c r="I99" i="4"/>
  <c r="L99" i="6"/>
  <c r="O100" i="6" a="1"/>
  <c r="O100" i="6"/>
  <c r="I100" i="6"/>
  <c r="K101" i="6"/>
  <c r="K101" i="4"/>
  <c r="A101" i="6"/>
  <c r="O101" i="6" a="1"/>
  <c r="O101" i="6"/>
  <c r="B102" i="6"/>
  <c r="J101" i="4"/>
  <c r="B103" i="4"/>
  <c r="A102" i="4"/>
  <c r="Y102" i="4"/>
  <c r="X102" i="4"/>
  <c r="B91" i="5"/>
  <c r="A91" i="5"/>
  <c r="C103" i="4"/>
  <c r="C102" i="6"/>
  <c r="E68" i="4"/>
  <c r="D68" i="4"/>
  <c r="R65" i="6"/>
  <c r="S65" i="6"/>
  <c r="O102" i="4" a="1"/>
  <c r="O102" i="4"/>
  <c r="M101" i="4"/>
  <c r="I101" i="6"/>
  <c r="I101" i="4"/>
  <c r="H101" i="6"/>
  <c r="H101" i="4"/>
  <c r="G66" i="6"/>
  <c r="D66" i="6"/>
  <c r="F66" i="6"/>
  <c r="M100" i="4"/>
  <c r="I100" i="4"/>
  <c r="L100" i="6"/>
  <c r="J102" i="4"/>
  <c r="B103" i="6"/>
  <c r="K102" i="6"/>
  <c r="K102" i="4"/>
  <c r="A102" i="6"/>
  <c r="I102" i="6"/>
  <c r="I102" i="4"/>
  <c r="L99" i="4"/>
  <c r="H100" i="4"/>
  <c r="B104" i="4"/>
  <c r="N104" i="4"/>
  <c r="A103" i="4"/>
  <c r="O103" i="4" a="1"/>
  <c r="O103" i="4"/>
  <c r="X103" i="4"/>
  <c r="B92" i="5"/>
  <c r="A92" i="5"/>
  <c r="C104" i="4"/>
  <c r="C103" i="6"/>
  <c r="G68" i="4"/>
  <c r="V68" i="4"/>
  <c r="F68" i="4"/>
  <c r="E69" i="4"/>
  <c r="L101" i="6"/>
  <c r="L101" i="4"/>
  <c r="Y103" i="4"/>
  <c r="O102" i="6" a="1"/>
  <c r="O102" i="6"/>
  <c r="E67" i="6"/>
  <c r="G67" i="6"/>
  <c r="H102" i="6"/>
  <c r="H102" i="4"/>
  <c r="R66" i="6"/>
  <c r="S66" i="6"/>
  <c r="Q66" i="6"/>
  <c r="L100" i="4"/>
  <c r="L102" i="6"/>
  <c r="A103" i="6"/>
  <c r="O103" i="6" a="1"/>
  <c r="O103" i="6"/>
  <c r="K103" i="6"/>
  <c r="K103" i="4"/>
  <c r="B104" i="6"/>
  <c r="J103" i="4"/>
  <c r="Z99" i="4"/>
  <c r="C87" i="5"/>
  <c r="D87" i="5"/>
  <c r="B105" i="4"/>
  <c r="N105" i="4"/>
  <c r="A104" i="4"/>
  <c r="O104" i="4" a="1"/>
  <c r="O104" i="4"/>
  <c r="X104" i="4"/>
  <c r="A93" i="5"/>
  <c r="B93" i="5"/>
  <c r="C104" i="6"/>
  <c r="C105" i="4"/>
  <c r="R68" i="4"/>
  <c r="S68" i="4"/>
  <c r="Q68" i="4"/>
  <c r="D69" i="4"/>
  <c r="F69" i="4"/>
  <c r="G69" i="4"/>
  <c r="Y104" i="4"/>
  <c r="I103" i="6"/>
  <c r="I103" i="4"/>
  <c r="D67" i="6"/>
  <c r="F67" i="6"/>
  <c r="H103" i="6"/>
  <c r="H103" i="4"/>
  <c r="M103" i="4"/>
  <c r="Q67" i="6"/>
  <c r="R67" i="6"/>
  <c r="S67" i="6"/>
  <c r="M102" i="4"/>
  <c r="J104" i="4"/>
  <c r="B105" i="6"/>
  <c r="K104" i="6"/>
  <c r="K104" i="4"/>
  <c r="A104" i="6"/>
  <c r="I104" i="6"/>
  <c r="L102" i="4"/>
  <c r="Z100" i="4"/>
  <c r="C88" i="5"/>
  <c r="D88" i="5"/>
  <c r="Z101" i="4"/>
  <c r="C89" i="5"/>
  <c r="B106" i="4"/>
  <c r="N106" i="4"/>
  <c r="A105" i="4"/>
  <c r="X105" i="4"/>
  <c r="A94" i="5"/>
  <c r="B94" i="5"/>
  <c r="C106" i="4"/>
  <c r="C105" i="6"/>
  <c r="E70" i="4"/>
  <c r="G70" i="4"/>
  <c r="Q69" i="4"/>
  <c r="R69" i="4"/>
  <c r="S69" i="4"/>
  <c r="V69" i="4"/>
  <c r="L103" i="6"/>
  <c r="L103" i="4"/>
  <c r="E68" i="6"/>
  <c r="D68" i="6"/>
  <c r="F68" i="6"/>
  <c r="O104" i="6" a="1"/>
  <c r="O104" i="6"/>
  <c r="H104" i="6"/>
  <c r="H104" i="4"/>
  <c r="M104" i="4"/>
  <c r="D89" i="5"/>
  <c r="I104" i="4"/>
  <c r="L104" i="6"/>
  <c r="Y105" i="4"/>
  <c r="O105" i="4" a="1"/>
  <c r="O105" i="4"/>
  <c r="K105" i="6"/>
  <c r="K105" i="4"/>
  <c r="B106" i="6"/>
  <c r="A105" i="6"/>
  <c r="H105" i="6"/>
  <c r="J105" i="4"/>
  <c r="Z102" i="4"/>
  <c r="C90" i="5"/>
  <c r="D90" i="5"/>
  <c r="B107" i="4"/>
  <c r="N107" i="4"/>
  <c r="A106" i="4"/>
  <c r="X106" i="4"/>
  <c r="B95" i="5"/>
  <c r="A95" i="5"/>
  <c r="C106" i="6"/>
  <c r="C107" i="4"/>
  <c r="D70" i="4"/>
  <c r="F70" i="4"/>
  <c r="V70" i="4"/>
  <c r="Q70" i="4"/>
  <c r="R70" i="4"/>
  <c r="S70" i="4"/>
  <c r="G68" i="6"/>
  <c r="R68" i="6"/>
  <c r="S68" i="6"/>
  <c r="E69" i="6"/>
  <c r="G69" i="6"/>
  <c r="R69" i="6"/>
  <c r="S69" i="6"/>
  <c r="O105" i="6" a="1"/>
  <c r="O105" i="6"/>
  <c r="M105" i="4"/>
  <c r="H105" i="4"/>
  <c r="A106" i="6"/>
  <c r="I106" i="6"/>
  <c r="I106" i="4"/>
  <c r="K106" i="6"/>
  <c r="K106" i="4"/>
  <c r="B107" i="6"/>
  <c r="J106" i="4"/>
  <c r="I105" i="6"/>
  <c r="Y106" i="4"/>
  <c r="O106" i="4" a="1"/>
  <c r="O106" i="4"/>
  <c r="Z103" i="4"/>
  <c r="C91" i="5"/>
  <c r="D91" i="5"/>
  <c r="L104" i="4"/>
  <c r="A107" i="4"/>
  <c r="O107" i="4" a="1"/>
  <c r="O107" i="4"/>
  <c r="B108" i="4"/>
  <c r="N108" i="4"/>
  <c r="X107" i="4"/>
  <c r="B96" i="5"/>
  <c r="A96" i="5"/>
  <c r="C108" i="4"/>
  <c r="C107" i="6"/>
  <c r="E71" i="4"/>
  <c r="D71" i="4"/>
  <c r="F71" i="4"/>
  <c r="Q68" i="6"/>
  <c r="Q69" i="6"/>
  <c r="D69" i="6"/>
  <c r="F69" i="6"/>
  <c r="H106" i="6"/>
  <c r="H106" i="4"/>
  <c r="O106" i="6" a="1"/>
  <c r="O106" i="6"/>
  <c r="Y107" i="4"/>
  <c r="L106" i="6"/>
  <c r="L106" i="4"/>
  <c r="Z106" i="4"/>
  <c r="C94" i="5"/>
  <c r="B108" i="6"/>
  <c r="K107" i="6"/>
  <c r="K107" i="4"/>
  <c r="J107" i="4"/>
  <c r="A107" i="6"/>
  <c r="O107" i="6" a="1"/>
  <c r="O107" i="6"/>
  <c r="I105" i="4"/>
  <c r="L105" i="6"/>
  <c r="Z104" i="4"/>
  <c r="C92" i="5"/>
  <c r="D92" i="5"/>
  <c r="A108" i="4"/>
  <c r="O108" i="4" a="1"/>
  <c r="O108" i="4"/>
  <c r="B109" i="4"/>
  <c r="N109" i="4"/>
  <c r="X108" i="4"/>
  <c r="A97" i="5"/>
  <c r="B97" i="5"/>
  <c r="C108" i="6"/>
  <c r="C109" i="4"/>
  <c r="G71" i="4"/>
  <c r="Q71" i="4"/>
  <c r="E72" i="4"/>
  <c r="D72" i="4"/>
  <c r="F72" i="4"/>
  <c r="E70" i="6"/>
  <c r="D70" i="6"/>
  <c r="F70" i="6"/>
  <c r="Y108" i="4"/>
  <c r="H107" i="6"/>
  <c r="H107" i="4"/>
  <c r="I107" i="6"/>
  <c r="K108" i="6"/>
  <c r="K108" i="4"/>
  <c r="A108" i="6"/>
  <c r="J108" i="4"/>
  <c r="B109" i="6"/>
  <c r="L105" i="4"/>
  <c r="M106" i="4"/>
  <c r="A109" i="4"/>
  <c r="Y109" i="4"/>
  <c r="B110" i="4"/>
  <c r="N110" i="4"/>
  <c r="X109" i="4"/>
  <c r="B98" i="5"/>
  <c r="A98" i="5"/>
  <c r="C110" i="4"/>
  <c r="C109" i="6"/>
  <c r="E73" i="4"/>
  <c r="G73" i="4"/>
  <c r="V73" i="4"/>
  <c r="V71" i="4"/>
  <c r="R71" i="4"/>
  <c r="S71" i="4"/>
  <c r="G72" i="4"/>
  <c r="Q72" i="4"/>
  <c r="E71" i="6"/>
  <c r="G71" i="6"/>
  <c r="Q71" i="6"/>
  <c r="G70" i="6"/>
  <c r="R70" i="6"/>
  <c r="S70" i="6"/>
  <c r="M108" i="4"/>
  <c r="I107" i="4"/>
  <c r="L107" i="6"/>
  <c r="L107" i="4"/>
  <c r="Z107" i="4"/>
  <c r="C95" i="5"/>
  <c r="D95" i="5"/>
  <c r="M107" i="4"/>
  <c r="K109" i="6"/>
  <c r="K109" i="4"/>
  <c r="J109" i="4"/>
  <c r="A109" i="6"/>
  <c r="O109" i="6" a="1"/>
  <c r="O109" i="6"/>
  <c r="B110" i="6"/>
  <c r="O109" i="4" a="1"/>
  <c r="O109" i="4"/>
  <c r="H108" i="6"/>
  <c r="O108" i="6" a="1"/>
  <c r="O108" i="6"/>
  <c r="I108" i="6"/>
  <c r="Z105" i="4"/>
  <c r="C93" i="5"/>
  <c r="B111" i="4"/>
  <c r="N111" i="4"/>
  <c r="A110" i="4"/>
  <c r="Y110" i="4"/>
  <c r="X110" i="4"/>
  <c r="B99" i="5"/>
  <c r="A99" i="5"/>
  <c r="C111" i="4"/>
  <c r="C110" i="6"/>
  <c r="Q73" i="4"/>
  <c r="R73" i="4"/>
  <c r="S73" i="4"/>
  <c r="D73" i="4"/>
  <c r="F73" i="4"/>
  <c r="R72" i="4"/>
  <c r="S72" i="4"/>
  <c r="V72" i="4"/>
  <c r="R71" i="6"/>
  <c r="S71" i="6"/>
  <c r="D71" i="6"/>
  <c r="F71" i="6"/>
  <c r="Q70" i="6"/>
  <c r="I108" i="4"/>
  <c r="L108" i="6"/>
  <c r="D93" i="5"/>
  <c r="D94" i="5"/>
  <c r="H108" i="4"/>
  <c r="I109" i="6"/>
  <c r="H109" i="6"/>
  <c r="A110" i="6"/>
  <c r="O110" i="6" a="1"/>
  <c r="O110" i="6"/>
  <c r="B111" i="6"/>
  <c r="K110" i="6"/>
  <c r="K110" i="4"/>
  <c r="J110" i="4"/>
  <c r="O110" i="4" a="1"/>
  <c r="O110" i="4"/>
  <c r="B112" i="4"/>
  <c r="N112" i="4"/>
  <c r="A111" i="4"/>
  <c r="Y111" i="4"/>
  <c r="X111" i="4"/>
  <c r="B100" i="5"/>
  <c r="A100" i="5"/>
  <c r="C112" i="4"/>
  <c r="C111" i="6"/>
  <c r="E74" i="4"/>
  <c r="G74" i="4"/>
  <c r="R74" i="4"/>
  <c r="S74" i="4"/>
  <c r="E72" i="6"/>
  <c r="G72" i="6"/>
  <c r="R72" i="6"/>
  <c r="S72" i="6"/>
  <c r="M110" i="4"/>
  <c r="H110" i="6"/>
  <c r="H110" i="4"/>
  <c r="O111" i="4" a="1"/>
  <c r="O111" i="4"/>
  <c r="I110" i="6"/>
  <c r="B112" i="6"/>
  <c r="A111" i="6"/>
  <c r="O111" i="6" a="1"/>
  <c r="O111" i="6"/>
  <c r="K111" i="6"/>
  <c r="K111" i="4"/>
  <c r="J111" i="4"/>
  <c r="L108" i="4"/>
  <c r="H109" i="4"/>
  <c r="I109" i="4"/>
  <c r="L109" i="6"/>
  <c r="M109" i="4"/>
  <c r="B113" i="4"/>
  <c r="N113" i="4"/>
  <c r="A112" i="4"/>
  <c r="Y112" i="4"/>
  <c r="X112" i="4"/>
  <c r="A101" i="5"/>
  <c r="B101" i="5"/>
  <c r="C112" i="6"/>
  <c r="C113" i="4"/>
  <c r="Q74" i="4"/>
  <c r="V74" i="4"/>
  <c r="D74" i="4"/>
  <c r="F74" i="4"/>
  <c r="Q72" i="6"/>
  <c r="D72" i="6"/>
  <c r="O112" i="4" a="1"/>
  <c r="O112" i="4"/>
  <c r="M111" i="4"/>
  <c r="I110" i="4"/>
  <c r="L110" i="6"/>
  <c r="L110" i="4"/>
  <c r="Z110" i="4"/>
  <c r="C98" i="5"/>
  <c r="Z108" i="4"/>
  <c r="C96" i="5"/>
  <c r="D96" i="5"/>
  <c r="H111" i="6"/>
  <c r="K112" i="6"/>
  <c r="K112" i="4"/>
  <c r="J112" i="4"/>
  <c r="A112" i="6"/>
  <c r="H112" i="6"/>
  <c r="B113" i="6"/>
  <c r="L109" i="4"/>
  <c r="I111" i="6"/>
  <c r="B114" i="4"/>
  <c r="N114" i="4"/>
  <c r="X113" i="4"/>
  <c r="A113" i="4"/>
  <c r="Y113" i="4"/>
  <c r="A102" i="5"/>
  <c r="B102" i="5"/>
  <c r="C113" i="6"/>
  <c r="C114" i="4"/>
  <c r="E75" i="4"/>
  <c r="D75" i="4"/>
  <c r="E73" i="6"/>
  <c r="F72" i="6"/>
  <c r="O112" i="6" a="1"/>
  <c r="O112" i="6"/>
  <c r="O113" i="4" a="1"/>
  <c r="O113" i="4"/>
  <c r="I112" i="6"/>
  <c r="I112" i="4"/>
  <c r="H112" i="4"/>
  <c r="H111" i="4"/>
  <c r="J113" i="4"/>
  <c r="A113" i="6"/>
  <c r="H113" i="6"/>
  <c r="B114" i="6"/>
  <c r="K113" i="6"/>
  <c r="K113" i="4"/>
  <c r="I111" i="4"/>
  <c r="L111" i="6"/>
  <c r="Z109" i="4"/>
  <c r="C97" i="5"/>
  <c r="B115" i="4"/>
  <c r="N115" i="4"/>
  <c r="X114" i="4"/>
  <c r="A114" i="4"/>
  <c r="Y114" i="4"/>
  <c r="B103" i="5"/>
  <c r="A103" i="5"/>
  <c r="C114" i="6"/>
  <c r="C115" i="4"/>
  <c r="G75" i="4"/>
  <c r="V75" i="4"/>
  <c r="E76" i="4"/>
  <c r="F75" i="4"/>
  <c r="D73" i="6"/>
  <c r="F73" i="6"/>
  <c r="G73" i="6"/>
  <c r="L112" i="6"/>
  <c r="L112" i="4"/>
  <c r="O114" i="4" a="1"/>
  <c r="O114" i="4"/>
  <c r="O113" i="6" a="1"/>
  <c r="O113" i="6"/>
  <c r="M113" i="4"/>
  <c r="H113" i="4"/>
  <c r="L111" i="4"/>
  <c r="J114" i="4"/>
  <c r="B115" i="6"/>
  <c r="K114" i="6"/>
  <c r="K114" i="4"/>
  <c r="A114" i="6"/>
  <c r="M112" i="4"/>
  <c r="I113" i="6"/>
  <c r="D97" i="5"/>
  <c r="D98" i="5"/>
  <c r="A115" i="4"/>
  <c r="Y115" i="4"/>
  <c r="B116" i="4"/>
  <c r="N116" i="4"/>
  <c r="X115" i="4"/>
  <c r="A104" i="5"/>
  <c r="B104" i="5"/>
  <c r="C115" i="6"/>
  <c r="C116" i="4"/>
  <c r="Q75" i="4"/>
  <c r="R75" i="4"/>
  <c r="S75" i="4"/>
  <c r="D76" i="4"/>
  <c r="G76" i="4"/>
  <c r="Q73" i="6"/>
  <c r="R73" i="6"/>
  <c r="S73" i="6"/>
  <c r="E74" i="6"/>
  <c r="O115" i="4" a="1"/>
  <c r="O115" i="4"/>
  <c r="B116" i="6"/>
  <c r="K115" i="6"/>
  <c r="K115" i="4"/>
  <c r="A115" i="6"/>
  <c r="I115" i="6"/>
  <c r="J115" i="4"/>
  <c r="Z111" i="4"/>
  <c r="C99" i="5"/>
  <c r="D99" i="5"/>
  <c r="I114" i="6"/>
  <c r="Z112" i="4"/>
  <c r="C100" i="5"/>
  <c r="O114" i="6" a="1"/>
  <c r="O114" i="6"/>
  <c r="I113" i="4"/>
  <c r="L113" i="6"/>
  <c r="H114" i="6"/>
  <c r="A116" i="4"/>
  <c r="O116" i="4" a="1"/>
  <c r="O116" i="4"/>
  <c r="X116" i="4"/>
  <c r="B117" i="4"/>
  <c r="N117" i="4"/>
  <c r="B105" i="5"/>
  <c r="A105" i="5"/>
  <c r="C116" i="6"/>
  <c r="C117" i="4"/>
  <c r="R76" i="4"/>
  <c r="S76" i="4"/>
  <c r="Q76" i="4"/>
  <c r="V76" i="4"/>
  <c r="F76" i="4"/>
  <c r="E77" i="4"/>
  <c r="G74" i="6"/>
  <c r="D74" i="6"/>
  <c r="F74" i="6"/>
  <c r="M115" i="4"/>
  <c r="Y116" i="4"/>
  <c r="D100" i="5"/>
  <c r="O115" i="6" a="1"/>
  <c r="O115" i="6"/>
  <c r="I115" i="4"/>
  <c r="L115" i="6"/>
  <c r="H114" i="4"/>
  <c r="H115" i="6"/>
  <c r="M114" i="4"/>
  <c r="L113" i="4"/>
  <c r="I114" i="4"/>
  <c r="L114" i="6"/>
  <c r="K116" i="6"/>
  <c r="K116" i="4"/>
  <c r="A116" i="6"/>
  <c r="H116" i="6"/>
  <c r="H116" i="4"/>
  <c r="J116" i="4"/>
  <c r="B117" i="6"/>
  <c r="A117" i="4"/>
  <c r="Y117" i="4"/>
  <c r="B118" i="4"/>
  <c r="N118" i="4"/>
  <c r="X117" i="4"/>
  <c r="B106" i="5"/>
  <c r="A106" i="5"/>
  <c r="C117" i="6"/>
  <c r="C118" i="4"/>
  <c r="G77" i="4"/>
  <c r="D77" i="4"/>
  <c r="E75" i="6"/>
  <c r="Q74" i="6"/>
  <c r="R74" i="6"/>
  <c r="S74" i="6"/>
  <c r="O116" i="6" a="1"/>
  <c r="O116" i="6"/>
  <c r="I116" i="6"/>
  <c r="I116" i="4"/>
  <c r="O117" i="4" a="1"/>
  <c r="O117" i="4"/>
  <c r="M116" i="4"/>
  <c r="J117" i="4"/>
  <c r="A117" i="6"/>
  <c r="H117" i="6"/>
  <c r="B118" i="6"/>
  <c r="K117" i="6"/>
  <c r="K117" i="4"/>
  <c r="H115" i="4"/>
  <c r="L114" i="4"/>
  <c r="Z113" i="4"/>
  <c r="C101" i="5"/>
  <c r="D101" i="5"/>
  <c r="L115" i="4"/>
  <c r="B119" i="4"/>
  <c r="N119" i="4"/>
  <c r="X118" i="4"/>
  <c r="A118" i="4"/>
  <c r="Y118" i="4"/>
  <c r="B107" i="5"/>
  <c r="A107" i="5"/>
  <c r="C119" i="4"/>
  <c r="C118" i="6"/>
  <c r="F77" i="4"/>
  <c r="E78" i="4"/>
  <c r="V77" i="4"/>
  <c r="Q77" i="4"/>
  <c r="R77" i="4"/>
  <c r="S77" i="4"/>
  <c r="D75" i="6"/>
  <c r="G75" i="6"/>
  <c r="L116" i="6"/>
  <c r="L116" i="4"/>
  <c r="O118" i="4" a="1"/>
  <c r="O118" i="4"/>
  <c r="O117" i="6" a="1"/>
  <c r="O117" i="6"/>
  <c r="I117" i="6"/>
  <c r="I117" i="4"/>
  <c r="H117" i="4"/>
  <c r="Z115" i="4"/>
  <c r="C103" i="5"/>
  <c r="Z114" i="4"/>
  <c r="C102" i="5"/>
  <c r="D102" i="5"/>
  <c r="J118" i="4"/>
  <c r="A118" i="6"/>
  <c r="H118" i="6"/>
  <c r="H118" i="4"/>
  <c r="K118" i="6"/>
  <c r="K118" i="4"/>
  <c r="B119" i="6"/>
  <c r="B120" i="4"/>
  <c r="N120" i="4"/>
  <c r="X119" i="4"/>
  <c r="A119" i="4"/>
  <c r="Y119" i="4"/>
  <c r="B108" i="5"/>
  <c r="A108" i="5"/>
  <c r="C119" i="6"/>
  <c r="C120" i="4"/>
  <c r="G78" i="4"/>
  <c r="D78" i="4"/>
  <c r="F78" i="4"/>
  <c r="Q75" i="6"/>
  <c r="R75" i="6"/>
  <c r="S75" i="6"/>
  <c r="F75" i="6"/>
  <c r="E76" i="6"/>
  <c r="L117" i="6"/>
  <c r="L117" i="4"/>
  <c r="O119" i="4" a="1"/>
  <c r="O119" i="4"/>
  <c r="O118" i="6" a="1"/>
  <c r="O118" i="6"/>
  <c r="A119" i="6"/>
  <c r="I119" i="6"/>
  <c r="K119" i="6"/>
  <c r="K119" i="4"/>
  <c r="J119" i="4"/>
  <c r="B120" i="6"/>
  <c r="M117" i="4"/>
  <c r="Z116" i="4"/>
  <c r="C104" i="5"/>
  <c r="D104" i="5"/>
  <c r="I118" i="6"/>
  <c r="D103" i="5"/>
  <c r="B121" i="4"/>
  <c r="N121" i="4"/>
  <c r="X120" i="4"/>
  <c r="A120" i="4"/>
  <c r="O120" i="4" a="1"/>
  <c r="O120" i="4"/>
  <c r="A109" i="5"/>
  <c r="B109" i="5"/>
  <c r="C121" i="4"/>
  <c r="C120" i="6"/>
  <c r="E79" i="4"/>
  <c r="Q78" i="4"/>
  <c r="V78" i="4"/>
  <c r="R78" i="4"/>
  <c r="S78" i="4"/>
  <c r="D76" i="6"/>
  <c r="F76" i="6"/>
  <c r="G76" i="6"/>
  <c r="H119" i="6"/>
  <c r="H119" i="4"/>
  <c r="Y120" i="4"/>
  <c r="O119" i="6" a="1"/>
  <c r="O119" i="6"/>
  <c r="I119" i="4"/>
  <c r="L119" i="6"/>
  <c r="Z117" i="4"/>
  <c r="C105" i="5"/>
  <c r="D105" i="5"/>
  <c r="I118" i="4"/>
  <c r="L118" i="6"/>
  <c r="M118" i="4"/>
  <c r="B121" i="6"/>
  <c r="A120" i="6"/>
  <c r="H120" i="6"/>
  <c r="H120" i="4"/>
  <c r="J120" i="4"/>
  <c r="K120" i="6"/>
  <c r="K120" i="4"/>
  <c r="B122" i="4"/>
  <c r="N122" i="4"/>
  <c r="X121" i="4"/>
  <c r="A121" i="4"/>
  <c r="Y121" i="4"/>
  <c r="B110" i="5"/>
  <c r="A110" i="5"/>
  <c r="C121" i="6"/>
  <c r="C122" i="4"/>
  <c r="D79" i="4"/>
  <c r="F79" i="4"/>
  <c r="G79" i="4"/>
  <c r="Q76" i="6"/>
  <c r="R76" i="6"/>
  <c r="S76" i="6"/>
  <c r="E77" i="6"/>
  <c r="I120" i="6"/>
  <c r="I120" i="4"/>
  <c r="O120" i="6" a="1"/>
  <c r="O120" i="6"/>
  <c r="M120" i="4"/>
  <c r="B122" i="6"/>
  <c r="K121" i="6"/>
  <c r="K121" i="4"/>
  <c r="J121" i="4"/>
  <c r="A121" i="6"/>
  <c r="H121" i="6"/>
  <c r="L118" i="4"/>
  <c r="O121" i="4" a="1"/>
  <c r="O121" i="4"/>
  <c r="M119" i="4"/>
  <c r="L119" i="4"/>
  <c r="A122" i="4"/>
  <c r="Y122" i="4"/>
  <c r="X122" i="4"/>
  <c r="B123" i="4"/>
  <c r="N123" i="4"/>
  <c r="B111" i="5"/>
  <c r="A111" i="5"/>
  <c r="C123" i="4"/>
  <c r="C122" i="6"/>
  <c r="E80" i="4"/>
  <c r="D80" i="4"/>
  <c r="R79" i="4"/>
  <c r="S79" i="4"/>
  <c r="V79" i="4"/>
  <c r="Q79" i="4"/>
  <c r="G77" i="6"/>
  <c r="D77" i="6"/>
  <c r="F77" i="6"/>
  <c r="L120" i="6"/>
  <c r="L120" i="4"/>
  <c r="Z120" i="4"/>
  <c r="C108" i="5"/>
  <c r="O121" i="6" a="1"/>
  <c r="O121" i="6"/>
  <c r="H121" i="4"/>
  <c r="Z119" i="4"/>
  <c r="C107" i="5"/>
  <c r="Z118" i="4"/>
  <c r="C106" i="5"/>
  <c r="D106" i="5"/>
  <c r="B123" i="6"/>
  <c r="K122" i="6"/>
  <c r="K122" i="4"/>
  <c r="J122" i="4"/>
  <c r="A122" i="6"/>
  <c r="H122" i="6"/>
  <c r="O122" i="4" a="1"/>
  <c r="O122" i="4"/>
  <c r="I121" i="6"/>
  <c r="X123" i="4"/>
  <c r="A123" i="4"/>
  <c r="O123" i="4" a="1"/>
  <c r="O123" i="4"/>
  <c r="C123" i="6"/>
  <c r="G80" i="4"/>
  <c r="R80" i="4"/>
  <c r="S80" i="4"/>
  <c r="F80" i="4"/>
  <c r="E81" i="4"/>
  <c r="D81" i="4"/>
  <c r="E78" i="6"/>
  <c r="D78" i="6"/>
  <c r="F78" i="6"/>
  <c r="R77" i="6"/>
  <c r="S77" i="6"/>
  <c r="Q77" i="6"/>
  <c r="D108" i="5"/>
  <c r="I122" i="6"/>
  <c r="I122" i="4"/>
  <c r="O122" i="6" a="1"/>
  <c r="O122" i="6"/>
  <c r="Y123" i="4"/>
  <c r="H122" i="4"/>
  <c r="D107" i="5"/>
  <c r="M121" i="4"/>
  <c r="K123" i="6"/>
  <c r="K123" i="4"/>
  <c r="A123" i="6"/>
  <c r="O123" i="6" a="1"/>
  <c r="O123" i="6"/>
  <c r="J123" i="4"/>
  <c r="I121" i="4"/>
  <c r="L121" i="6"/>
  <c r="V80" i="4"/>
  <c r="Q80" i="4"/>
  <c r="G81" i="4"/>
  <c r="V81" i="4"/>
  <c r="F81" i="4"/>
  <c r="E82" i="4"/>
  <c r="G78" i="6"/>
  <c r="Q78" i="6"/>
  <c r="E79" i="6"/>
  <c r="L122" i="6"/>
  <c r="L122" i="4"/>
  <c r="I123" i="6"/>
  <c r="I123" i="4"/>
  <c r="H123" i="6"/>
  <c r="H123" i="4"/>
  <c r="M123" i="4"/>
  <c r="M122" i="4"/>
  <c r="L121" i="4"/>
  <c r="Q81" i="4"/>
  <c r="R81" i="4"/>
  <c r="S81" i="4"/>
  <c r="D82" i="4"/>
  <c r="F82" i="4"/>
  <c r="G82" i="4"/>
  <c r="R78" i="6"/>
  <c r="S78" i="6"/>
  <c r="D79" i="6"/>
  <c r="F79" i="6"/>
  <c r="G79" i="6"/>
  <c r="L123" i="6"/>
  <c r="L123" i="4"/>
  <c r="Z121" i="4"/>
  <c r="C109" i="5"/>
  <c r="D109" i="5"/>
  <c r="Z122" i="4"/>
  <c r="C110" i="5"/>
  <c r="E83" i="4"/>
  <c r="D83" i="4"/>
  <c r="V82" i="4"/>
  <c r="Q82" i="4"/>
  <c r="R82" i="4"/>
  <c r="S82" i="4"/>
  <c r="E80" i="6"/>
  <c r="D80" i="6"/>
  <c r="F80" i="6"/>
  <c r="Q79" i="6"/>
  <c r="R79" i="6"/>
  <c r="S79" i="6"/>
  <c r="D110" i="5"/>
  <c r="Z123" i="4"/>
  <c r="C111" i="5"/>
  <c r="D111" i="5"/>
  <c r="G83" i="4"/>
  <c r="R83" i="4"/>
  <c r="S83" i="4"/>
  <c r="F83" i="4"/>
  <c r="E84" i="4"/>
  <c r="G80" i="6"/>
  <c r="Q80" i="6"/>
  <c r="E81" i="6"/>
  <c r="V83" i="4"/>
  <c r="Q83" i="4"/>
  <c r="R80" i="6"/>
  <c r="S80" i="6"/>
  <c r="G84" i="4"/>
  <c r="D84" i="4"/>
  <c r="G81" i="6"/>
  <c r="D81" i="6"/>
  <c r="F81" i="6"/>
  <c r="Q84" i="4"/>
  <c r="V84" i="4"/>
  <c r="R84" i="4"/>
  <c r="S84" i="4"/>
  <c r="F84" i="4"/>
  <c r="E85" i="4"/>
  <c r="E82" i="6"/>
  <c r="Q81" i="6"/>
  <c r="R81" i="6"/>
  <c r="S81" i="6"/>
  <c r="D85" i="4"/>
  <c r="F85" i="4"/>
  <c r="G85" i="4"/>
  <c r="D82" i="6"/>
  <c r="F82" i="6"/>
  <c r="G82" i="6"/>
  <c r="E86" i="4"/>
  <c r="D86" i="4"/>
  <c r="F86" i="4"/>
  <c r="Q85" i="4"/>
  <c r="V85" i="4"/>
  <c r="R85" i="4"/>
  <c r="S85" i="4"/>
  <c r="E83" i="6"/>
  <c r="D83" i="6"/>
  <c r="R82" i="6"/>
  <c r="S82" i="6"/>
  <c r="Q82" i="6"/>
  <c r="G86" i="4"/>
  <c r="Q86" i="4"/>
  <c r="E87" i="4"/>
  <c r="D87" i="4"/>
  <c r="G83" i="6"/>
  <c r="Q83" i="6"/>
  <c r="F83" i="6"/>
  <c r="E84" i="6"/>
  <c r="G84" i="6"/>
  <c r="R86" i="4"/>
  <c r="S86" i="4"/>
  <c r="V86" i="4"/>
  <c r="G87" i="4"/>
  <c r="R87" i="4"/>
  <c r="S87" i="4"/>
  <c r="F87" i="4"/>
  <c r="E88" i="4"/>
  <c r="D84" i="6"/>
  <c r="F84" i="6"/>
  <c r="R83" i="6"/>
  <c r="S83" i="6"/>
  <c r="Q84" i="6"/>
  <c r="R84" i="6"/>
  <c r="S84" i="6"/>
  <c r="Q87" i="4"/>
  <c r="V87" i="4"/>
  <c r="G88" i="4"/>
  <c r="D88" i="4"/>
  <c r="F88" i="4"/>
  <c r="E85" i="6"/>
  <c r="G85" i="6"/>
  <c r="R85" i="6"/>
  <c r="S85" i="6"/>
  <c r="E89" i="4"/>
  <c r="D89" i="4"/>
  <c r="V88" i="4"/>
  <c r="Q88" i="4"/>
  <c r="R88" i="4"/>
  <c r="S88" i="4"/>
  <c r="Q85" i="6"/>
  <c r="D85" i="6"/>
  <c r="F85" i="6"/>
  <c r="G89" i="4"/>
  <c r="V89" i="4"/>
  <c r="E90" i="4"/>
  <c r="F89" i="4"/>
  <c r="E86" i="6"/>
  <c r="G86" i="6"/>
  <c r="Q86" i="6"/>
  <c r="Q89" i="4"/>
  <c r="R89" i="4"/>
  <c r="S89" i="4"/>
  <c r="G90" i="4"/>
  <c r="D90" i="4"/>
  <c r="R86" i="6"/>
  <c r="S86" i="6"/>
  <c r="D86" i="6"/>
  <c r="E91" i="4"/>
  <c r="F90" i="4"/>
  <c r="R90" i="4"/>
  <c r="S90" i="4"/>
  <c r="V90" i="4"/>
  <c r="Q90" i="4"/>
  <c r="E87" i="6"/>
  <c r="F86" i="6"/>
  <c r="G91" i="4"/>
  <c r="D91" i="4"/>
  <c r="G87" i="6"/>
  <c r="D87" i="6"/>
  <c r="F87" i="6"/>
  <c r="F91" i="4"/>
  <c r="E92" i="4"/>
  <c r="V91" i="4"/>
  <c r="R91" i="4"/>
  <c r="S91" i="4"/>
  <c r="Q91" i="4"/>
  <c r="R87" i="6"/>
  <c r="S87" i="6"/>
  <c r="Q87" i="6"/>
  <c r="E88" i="6"/>
  <c r="G92" i="4"/>
  <c r="D92" i="4"/>
  <c r="D88" i="6"/>
  <c r="F88" i="6"/>
  <c r="G88" i="6"/>
  <c r="E89" i="6"/>
  <c r="D89" i="6"/>
  <c r="F89" i="6"/>
  <c r="F92" i="4"/>
  <c r="E93" i="4"/>
  <c r="R92" i="4"/>
  <c r="S92" i="4"/>
  <c r="V92" i="4"/>
  <c r="Q92" i="4"/>
  <c r="R88" i="6"/>
  <c r="S88" i="6"/>
  <c r="Q88" i="6"/>
  <c r="G89" i="6"/>
  <c r="Q89" i="6"/>
  <c r="G93" i="4"/>
  <c r="D93" i="4"/>
  <c r="F93" i="4"/>
  <c r="E90" i="6"/>
  <c r="G90" i="6"/>
  <c r="R89" i="6"/>
  <c r="S89" i="6"/>
  <c r="E94" i="4"/>
  <c r="G94" i="4"/>
  <c r="D90" i="6"/>
  <c r="E91" i="6"/>
  <c r="R93" i="4"/>
  <c r="S93" i="4"/>
  <c r="V93" i="4"/>
  <c r="Q93" i="4"/>
  <c r="Q90" i="6"/>
  <c r="R90" i="6"/>
  <c r="S90" i="6"/>
  <c r="D94" i="4"/>
  <c r="F94" i="4"/>
  <c r="F90" i="6"/>
  <c r="R94" i="4"/>
  <c r="S94" i="4"/>
  <c r="Q94" i="4"/>
  <c r="V94" i="4"/>
  <c r="G91" i="6"/>
  <c r="D91" i="6"/>
  <c r="F91" i="6"/>
  <c r="E95" i="4"/>
  <c r="D95" i="4"/>
  <c r="F95" i="4"/>
  <c r="E92" i="6"/>
  <c r="G92" i="6"/>
  <c r="R91" i="6"/>
  <c r="S91" i="6"/>
  <c r="Q91" i="6"/>
  <c r="G95" i="4"/>
  <c r="Q95" i="4"/>
  <c r="D92" i="6"/>
  <c r="F92" i="6"/>
  <c r="E96" i="4"/>
  <c r="R92" i="6"/>
  <c r="S92" i="6"/>
  <c r="Q92" i="6"/>
  <c r="E93" i="6"/>
  <c r="D93" i="6"/>
  <c r="F93" i="6"/>
  <c r="R95" i="4"/>
  <c r="S95" i="4"/>
  <c r="V95" i="4"/>
  <c r="D96" i="4"/>
  <c r="F96" i="4"/>
  <c r="G96" i="4"/>
  <c r="G93" i="6"/>
  <c r="R93" i="6"/>
  <c r="S93" i="6"/>
  <c r="E97" i="4"/>
  <c r="D97" i="4"/>
  <c r="V96" i="4"/>
  <c r="Q96" i="4"/>
  <c r="R96" i="4"/>
  <c r="S96" i="4"/>
  <c r="E94" i="6"/>
  <c r="G94" i="6"/>
  <c r="Q93" i="6"/>
  <c r="F97" i="4"/>
  <c r="E98" i="4"/>
  <c r="D98" i="4"/>
  <c r="G97" i="4"/>
  <c r="R97" i="4"/>
  <c r="S97" i="4"/>
  <c r="D94" i="6"/>
  <c r="F94" i="6"/>
  <c r="R94" i="6"/>
  <c r="S94" i="6"/>
  <c r="Q94" i="6"/>
  <c r="V97" i="4"/>
  <c r="Q97" i="4"/>
  <c r="G98" i="4"/>
  <c r="R98" i="4"/>
  <c r="S98" i="4"/>
  <c r="E95" i="6"/>
  <c r="F98" i="4"/>
  <c r="E99" i="4"/>
  <c r="Q98" i="4"/>
  <c r="V98" i="4"/>
  <c r="G99" i="4"/>
  <c r="D99" i="4"/>
  <c r="F99" i="4"/>
  <c r="D95" i="6"/>
  <c r="F95" i="6"/>
  <c r="G95" i="6"/>
  <c r="E100" i="4"/>
  <c r="D100" i="4"/>
  <c r="F100" i="4"/>
  <c r="E96" i="6"/>
  <c r="D96" i="6"/>
  <c r="F96" i="6"/>
  <c r="R95" i="6"/>
  <c r="S95" i="6"/>
  <c r="Q95" i="6"/>
  <c r="R99" i="4"/>
  <c r="S99" i="4"/>
  <c r="V99" i="4"/>
  <c r="Q99" i="4"/>
  <c r="G100" i="4"/>
  <c r="V100" i="4"/>
  <c r="E101" i="4"/>
  <c r="D101" i="4"/>
  <c r="F101" i="4"/>
  <c r="G96" i="6"/>
  <c r="R96" i="6"/>
  <c r="S96" i="6"/>
  <c r="E97" i="6"/>
  <c r="R100" i="4"/>
  <c r="S100" i="4"/>
  <c r="Q100" i="4"/>
  <c r="G101" i="4"/>
  <c r="Q101" i="4"/>
  <c r="Q96" i="6"/>
  <c r="D97" i="6"/>
  <c r="G97" i="6"/>
  <c r="E102" i="4"/>
  <c r="D102" i="4"/>
  <c r="F102" i="4"/>
  <c r="R101" i="4"/>
  <c r="S101" i="4"/>
  <c r="V101" i="4"/>
  <c r="R97" i="6"/>
  <c r="S97" i="6"/>
  <c r="Q97" i="6"/>
  <c r="G102" i="4"/>
  <c r="Q102" i="4"/>
  <c r="E98" i="6"/>
  <c r="F97" i="6"/>
  <c r="E103" i="4"/>
  <c r="D103" i="4"/>
  <c r="F103" i="4"/>
  <c r="V102" i="4"/>
  <c r="R102" i="4"/>
  <c r="S102" i="4"/>
  <c r="G98" i="6"/>
  <c r="D98" i="6"/>
  <c r="G103" i="4"/>
  <c r="V103" i="4"/>
  <c r="E104" i="4"/>
  <c r="D104" i="4"/>
  <c r="F104" i="4"/>
  <c r="Q103" i="4"/>
  <c r="R103" i="4"/>
  <c r="S103" i="4"/>
  <c r="F98" i="6"/>
  <c r="E99" i="6"/>
  <c r="R98" i="6"/>
  <c r="S98" i="6"/>
  <c r="Q98" i="6"/>
  <c r="G104" i="4"/>
  <c r="V104" i="4"/>
  <c r="E105" i="4"/>
  <c r="G105" i="4"/>
  <c r="Q104" i="4"/>
  <c r="D99" i="6"/>
  <c r="G99" i="6"/>
  <c r="R104" i="4"/>
  <c r="S104" i="4"/>
  <c r="D105" i="4"/>
  <c r="F105" i="4"/>
  <c r="V105" i="4"/>
  <c r="R105" i="4"/>
  <c r="S105" i="4"/>
  <c r="Q105" i="4"/>
  <c r="R99" i="6"/>
  <c r="S99" i="6"/>
  <c r="Q99" i="6"/>
  <c r="F99" i="6"/>
  <c r="E100" i="6"/>
  <c r="E106" i="4"/>
  <c r="D106" i="4"/>
  <c r="F106" i="4"/>
  <c r="G100" i="6"/>
  <c r="D100" i="6"/>
  <c r="F100" i="6"/>
  <c r="G106" i="4"/>
  <c r="E107" i="4"/>
  <c r="D107" i="4"/>
  <c r="F107" i="4"/>
  <c r="E101" i="6"/>
  <c r="D101" i="6"/>
  <c r="F101" i="6"/>
  <c r="Q100" i="6"/>
  <c r="R100" i="6"/>
  <c r="S100" i="6"/>
  <c r="E108" i="4"/>
  <c r="D108" i="4"/>
  <c r="F108" i="4"/>
  <c r="G107" i="4"/>
  <c r="R107" i="4"/>
  <c r="S107" i="4"/>
  <c r="V106" i="4"/>
  <c r="Q106" i="4"/>
  <c r="R106" i="4"/>
  <c r="S106" i="4"/>
  <c r="G101" i="6"/>
  <c r="E102" i="6"/>
  <c r="D102" i="6"/>
  <c r="F102" i="6"/>
  <c r="E109" i="4"/>
  <c r="D109" i="4"/>
  <c r="F109" i="4"/>
  <c r="G108" i="4"/>
  <c r="V107" i="4"/>
  <c r="Q107" i="4"/>
  <c r="E103" i="6"/>
  <c r="G103" i="6"/>
  <c r="R103" i="6"/>
  <c r="S103" i="6"/>
  <c r="G102" i="6"/>
  <c r="Q102" i="6"/>
  <c r="G109" i="4"/>
  <c r="V109" i="4"/>
  <c r="E110" i="4"/>
  <c r="D110" i="4"/>
  <c r="F110" i="4"/>
  <c r="Q101" i="6"/>
  <c r="R101" i="6"/>
  <c r="S101" i="6"/>
  <c r="Q108" i="4"/>
  <c r="V108" i="4"/>
  <c r="R108" i="4"/>
  <c r="S108" i="4"/>
  <c r="R109" i="4"/>
  <c r="S109" i="4"/>
  <c r="R102" i="6"/>
  <c r="S102" i="6"/>
  <c r="Q103" i="6"/>
  <c r="Q109" i="4"/>
  <c r="D103" i="6"/>
  <c r="F103" i="6"/>
  <c r="G110" i="4"/>
  <c r="R110" i="4"/>
  <c r="S110" i="4"/>
  <c r="E111" i="4"/>
  <c r="D111" i="4"/>
  <c r="F111" i="4"/>
  <c r="Q110" i="4"/>
  <c r="V110" i="4"/>
  <c r="E104" i="6"/>
  <c r="G104" i="6"/>
  <c r="R104" i="6"/>
  <c r="S104" i="6"/>
  <c r="G111" i="4"/>
  <c r="R111" i="4"/>
  <c r="S111" i="4"/>
  <c r="E112" i="4"/>
  <c r="D104" i="6"/>
  <c r="F104" i="6"/>
  <c r="Q104" i="6"/>
  <c r="V111" i="4"/>
  <c r="Q111" i="4"/>
  <c r="D112" i="4"/>
  <c r="F112" i="4"/>
  <c r="G112" i="4"/>
  <c r="E105" i="6"/>
  <c r="D105" i="6"/>
  <c r="F105" i="6"/>
  <c r="E113" i="4"/>
  <c r="G113" i="4"/>
  <c r="V112" i="4"/>
  <c r="Q112" i="4"/>
  <c r="R112" i="4"/>
  <c r="S112" i="4"/>
  <c r="E106" i="6"/>
  <c r="D106" i="6"/>
  <c r="F106" i="6"/>
  <c r="G105" i="6"/>
  <c r="D113" i="4"/>
  <c r="F113" i="4"/>
  <c r="V113" i="4"/>
  <c r="Q113" i="4"/>
  <c r="R113" i="4"/>
  <c r="S113" i="4"/>
  <c r="E107" i="6"/>
  <c r="G107" i="6"/>
  <c r="R107" i="6"/>
  <c r="S107" i="6"/>
  <c r="G106" i="6"/>
  <c r="Q105" i="6"/>
  <c r="R105" i="6"/>
  <c r="S105" i="6"/>
  <c r="E114" i="4"/>
  <c r="D114" i="4"/>
  <c r="F114" i="4"/>
  <c r="Q107" i="6"/>
  <c r="D107" i="6"/>
  <c r="Q106" i="6"/>
  <c r="R106" i="6"/>
  <c r="S106" i="6"/>
  <c r="E115" i="4"/>
  <c r="D115" i="4"/>
  <c r="F115" i="4"/>
  <c r="G114" i="4"/>
  <c r="Q114" i="4"/>
  <c r="F107" i="6"/>
  <c r="E108" i="6"/>
  <c r="E116" i="4"/>
  <c r="G116" i="4"/>
  <c r="V114" i="4"/>
  <c r="G115" i="4"/>
  <c r="V115" i="4"/>
  <c r="R114" i="4"/>
  <c r="S114" i="4"/>
  <c r="D108" i="6"/>
  <c r="F108" i="6"/>
  <c r="G108" i="6"/>
  <c r="D116" i="4"/>
  <c r="E117" i="4"/>
  <c r="Q115" i="4"/>
  <c r="R115" i="4"/>
  <c r="S115" i="4"/>
  <c r="R116" i="4"/>
  <c r="S116" i="4"/>
  <c r="Q116" i="4"/>
  <c r="V116" i="4"/>
  <c r="E109" i="6"/>
  <c r="D109" i="6"/>
  <c r="R108" i="6"/>
  <c r="S108" i="6"/>
  <c r="Q108" i="6"/>
  <c r="F116" i="4"/>
  <c r="D117" i="4"/>
  <c r="F117" i="4"/>
  <c r="G117" i="4"/>
  <c r="G109" i="6"/>
  <c r="Q109" i="6"/>
  <c r="F109" i="6"/>
  <c r="E110" i="6"/>
  <c r="E118" i="4"/>
  <c r="G118" i="4"/>
  <c r="Q117" i="4"/>
  <c r="R117" i="4"/>
  <c r="S117" i="4"/>
  <c r="V117" i="4"/>
  <c r="R109" i="6"/>
  <c r="S109" i="6"/>
  <c r="G110" i="6"/>
  <c r="D110" i="6"/>
  <c r="D118" i="4"/>
  <c r="E119" i="4"/>
  <c r="Q118" i="4"/>
  <c r="R118" i="4"/>
  <c r="S118" i="4"/>
  <c r="V118" i="4"/>
  <c r="E111" i="6"/>
  <c r="F110" i="6"/>
  <c r="Q110" i="6"/>
  <c r="R110" i="6"/>
  <c r="S110" i="6"/>
  <c r="F118" i="4"/>
  <c r="G119" i="4"/>
  <c r="D119" i="4"/>
  <c r="D111" i="6"/>
  <c r="G111" i="6"/>
  <c r="F119" i="4"/>
  <c r="E120" i="4"/>
  <c r="Q119" i="4"/>
  <c r="V119" i="4"/>
  <c r="R119" i="4"/>
  <c r="S119" i="4"/>
  <c r="R111" i="6"/>
  <c r="S111" i="6"/>
  <c r="Q111" i="6"/>
  <c r="F111" i="6"/>
  <c r="E112" i="6"/>
  <c r="D120" i="4"/>
  <c r="F120" i="4"/>
  <c r="G120" i="4"/>
  <c r="D112" i="6"/>
  <c r="F112" i="6"/>
  <c r="G112" i="6"/>
  <c r="E121" i="4"/>
  <c r="D121" i="4"/>
  <c r="F121" i="4"/>
  <c r="V120" i="4"/>
  <c r="Q120" i="4"/>
  <c r="R120" i="4"/>
  <c r="S120" i="4"/>
  <c r="E113" i="6"/>
  <c r="G113" i="6"/>
  <c r="Q113" i="6"/>
  <c r="R112" i="6"/>
  <c r="S112" i="6"/>
  <c r="Q112" i="6"/>
  <c r="G121" i="4"/>
  <c r="Q121" i="4"/>
  <c r="E122" i="4"/>
  <c r="D122" i="4"/>
  <c r="R113" i="6"/>
  <c r="S113" i="6"/>
  <c r="D113" i="6"/>
  <c r="E114" i="6"/>
  <c r="D114" i="6"/>
  <c r="V121" i="4"/>
  <c r="R121" i="4"/>
  <c r="S121" i="4"/>
  <c r="G122" i="4"/>
  <c r="R122" i="4"/>
  <c r="S122" i="4"/>
  <c r="F122" i="4"/>
  <c r="E123" i="4"/>
  <c r="G114" i="6"/>
  <c r="R114" i="6"/>
  <c r="S114" i="6"/>
  <c r="F113" i="6"/>
  <c r="F114" i="6"/>
  <c r="E115" i="6"/>
  <c r="V122" i="4"/>
  <c r="Q122" i="4"/>
  <c r="D123" i="4"/>
  <c r="F123" i="4"/>
  <c r="G123" i="4"/>
  <c r="Q114" i="6"/>
  <c r="D115" i="6"/>
  <c r="G115" i="6"/>
  <c r="Q123" i="4"/>
  <c r="V123" i="4"/>
  <c r="R123" i="4"/>
  <c r="S123" i="4"/>
  <c r="R115" i="6"/>
  <c r="S115" i="6"/>
  <c r="Q115" i="6"/>
  <c r="F115" i="6"/>
  <c r="E116" i="6"/>
  <c r="D116" i="6"/>
  <c r="F116" i="6"/>
  <c r="G116" i="6"/>
  <c r="E117" i="6"/>
  <c r="D117" i="6"/>
  <c r="F117" i="6"/>
  <c r="R116" i="6"/>
  <c r="S116" i="6"/>
  <c r="Q116" i="6"/>
  <c r="G117" i="6"/>
  <c r="Q117" i="6"/>
  <c r="E118" i="6"/>
  <c r="G118" i="6"/>
  <c r="R117" i="6"/>
  <c r="S117" i="6"/>
  <c r="D118" i="6"/>
  <c r="E119" i="6"/>
  <c r="R118" i="6"/>
  <c r="S118" i="6"/>
  <c r="Q118" i="6"/>
  <c r="F118" i="6"/>
  <c r="G119" i="6"/>
  <c r="D119" i="6"/>
  <c r="F119" i="6"/>
  <c r="E120" i="6"/>
  <c r="R119" i="6"/>
  <c r="S119" i="6"/>
  <c r="Q119" i="6"/>
  <c r="G120" i="6"/>
  <c r="D120" i="6"/>
  <c r="F120" i="6"/>
  <c r="E121" i="6"/>
  <c r="R120" i="6"/>
  <c r="S120" i="6"/>
  <c r="Q120" i="6"/>
  <c r="D121" i="6"/>
  <c r="F121" i="6"/>
  <c r="G121" i="6"/>
  <c r="E122" i="6"/>
  <c r="G122" i="6"/>
  <c r="Q121" i="6"/>
  <c r="R121" i="6"/>
  <c r="S121" i="6"/>
  <c r="D122" i="6"/>
  <c r="F122" i="6"/>
  <c r="R122" i="6"/>
  <c r="S122" i="6"/>
  <c r="Q122" i="6"/>
  <c r="E123" i="6"/>
  <c r="D123" i="6"/>
  <c r="F123" i="6"/>
  <c r="G123" i="6"/>
  <c r="R123" i="6"/>
  <c r="S123" i="6"/>
  <c r="Q123" i="6"/>
  <c r="X88" i="4"/>
  <c r="Z88" i="4"/>
  <c r="C76" i="5"/>
  <c r="D77" i="5"/>
  <c r="P123" i="4"/>
  <c r="T123" i="4"/>
  <c r="U123" i="4"/>
  <c r="W123" i="4"/>
  <c r="N123" i="6"/>
  <c r="P123" i="6"/>
  <c r="T123" i="6"/>
  <c r="U123" i="6"/>
  <c r="X87" i="4"/>
  <c r="Z87" i="4"/>
  <c r="C75" i="5"/>
  <c r="P122" i="4"/>
  <c r="T122" i="4"/>
  <c r="U122" i="4"/>
  <c r="W122" i="4"/>
  <c r="N122" i="6"/>
  <c r="P122" i="6"/>
  <c r="T122" i="6"/>
  <c r="U122" i="6"/>
  <c r="X86" i="4"/>
  <c r="Z86" i="4"/>
  <c r="C74" i="5"/>
  <c r="P121" i="4"/>
  <c r="T121" i="4"/>
  <c r="U121" i="4"/>
  <c r="W121" i="4"/>
  <c r="N121" i="6"/>
  <c r="P121" i="6"/>
  <c r="T121" i="6"/>
  <c r="U121" i="6"/>
  <c r="D75" i="5"/>
  <c r="D76" i="5"/>
  <c r="X85" i="4"/>
  <c r="Z85" i="4"/>
  <c r="C73" i="5"/>
  <c r="D74" i="5"/>
  <c r="P120" i="4"/>
  <c r="T120" i="4"/>
  <c r="U120" i="4"/>
  <c r="W120" i="4"/>
  <c r="N120" i="6"/>
  <c r="P120" i="6"/>
  <c r="T120" i="6"/>
  <c r="U120" i="6"/>
  <c r="X84" i="4"/>
  <c r="Z84" i="4"/>
  <c r="C72" i="5"/>
  <c r="P119" i="4"/>
  <c r="T119" i="4"/>
  <c r="U119" i="4"/>
  <c r="W119" i="4"/>
  <c r="N119" i="6"/>
  <c r="P119" i="6"/>
  <c r="T119" i="6"/>
  <c r="U119" i="6"/>
  <c r="D73" i="5"/>
  <c r="X83" i="4"/>
  <c r="Z83" i="4"/>
  <c r="C71" i="5"/>
  <c r="P118" i="4"/>
  <c r="T118" i="4"/>
  <c r="U118" i="4"/>
  <c r="W118" i="4"/>
  <c r="N118" i="6"/>
  <c r="P118" i="6"/>
  <c r="T118" i="6"/>
  <c r="U118" i="6"/>
  <c r="D72" i="5"/>
  <c r="X82" i="4"/>
  <c r="Z82" i="4"/>
  <c r="C70" i="5"/>
  <c r="P117" i="4"/>
  <c r="T117" i="4"/>
  <c r="U117" i="4"/>
  <c r="W117" i="4"/>
  <c r="N117" i="6"/>
  <c r="P117" i="6"/>
  <c r="T117" i="6"/>
  <c r="U117" i="6"/>
  <c r="D71" i="5"/>
  <c r="X81" i="4"/>
  <c r="Z81" i="4"/>
  <c r="C69" i="5"/>
  <c r="P116" i="4"/>
  <c r="T116" i="4"/>
  <c r="U116" i="4"/>
  <c r="W116" i="4"/>
  <c r="N116" i="6"/>
  <c r="P116" i="6"/>
  <c r="T116" i="6"/>
  <c r="U116" i="6"/>
  <c r="D70" i="5"/>
  <c r="X80" i="4"/>
  <c r="Z80" i="4"/>
  <c r="C68" i="5"/>
  <c r="P115" i="4"/>
  <c r="T115" i="4"/>
  <c r="U115" i="4"/>
  <c r="W115" i="4"/>
  <c r="N115" i="6"/>
  <c r="P115" i="6"/>
  <c r="T115" i="6"/>
  <c r="U115" i="6"/>
  <c r="D69" i="5"/>
  <c r="X79" i="4"/>
  <c r="Z79" i="4"/>
  <c r="C67" i="5"/>
  <c r="D68" i="5"/>
  <c r="P114" i="4"/>
  <c r="T114" i="4"/>
  <c r="U114" i="4"/>
  <c r="W114" i="4"/>
  <c r="N114" i="6"/>
  <c r="P114" i="6"/>
  <c r="T114" i="6"/>
  <c r="U114" i="6"/>
  <c r="X78" i="4"/>
  <c r="Z78" i="4"/>
  <c r="C66" i="5"/>
  <c r="P113" i="4"/>
  <c r="T113" i="4"/>
  <c r="U113" i="4"/>
  <c r="W113" i="4"/>
  <c r="N113" i="6"/>
  <c r="P113" i="6"/>
  <c r="T113" i="6"/>
  <c r="U113" i="6"/>
  <c r="X77" i="4"/>
  <c r="Z77" i="4"/>
  <c r="C65" i="5"/>
  <c r="P112" i="4"/>
  <c r="T112" i="4"/>
  <c r="U112" i="4"/>
  <c r="W112" i="4"/>
  <c r="N112" i="6"/>
  <c r="P112" i="6"/>
  <c r="T112" i="6"/>
  <c r="U112" i="6"/>
  <c r="X76" i="4"/>
  <c r="Z76" i="4"/>
  <c r="C64" i="5"/>
  <c r="P111" i="4"/>
  <c r="T111" i="4"/>
  <c r="U111" i="4"/>
  <c r="W111" i="4"/>
  <c r="N111" i="6"/>
  <c r="P111" i="6"/>
  <c r="T111" i="6"/>
  <c r="U111" i="6"/>
  <c r="D67" i="5"/>
  <c r="D66" i="5"/>
  <c r="D65" i="5"/>
  <c r="X75" i="4"/>
  <c r="Z75" i="4"/>
  <c r="C63" i="5"/>
  <c r="D64" i="5"/>
  <c r="X74" i="4"/>
  <c r="Z74" i="4"/>
  <c r="C62" i="5"/>
  <c r="D63" i="5"/>
  <c r="X73" i="4"/>
  <c r="Z73" i="4"/>
  <c r="C61" i="5"/>
  <c r="D62" i="5"/>
  <c r="X72" i="4"/>
  <c r="Z72" i="4"/>
  <c r="C60" i="5"/>
  <c r="D61" i="5"/>
  <c r="X71" i="4"/>
  <c r="Z71" i="4"/>
  <c r="C59" i="5"/>
  <c r="X70" i="4"/>
  <c r="Z70" i="4"/>
  <c r="C58" i="5"/>
  <c r="D60" i="5"/>
  <c r="D59" i="5"/>
  <c r="X69" i="4"/>
  <c r="Z69" i="4"/>
  <c r="C57" i="5"/>
  <c r="D58" i="5"/>
  <c r="X66" i="4"/>
  <c r="Z66" i="4"/>
  <c r="C54" i="5"/>
  <c r="X67" i="4"/>
  <c r="Z67" i="4"/>
  <c r="C55" i="5"/>
  <c r="X68" i="4"/>
  <c r="Z68" i="4"/>
  <c r="C56" i="5"/>
  <c r="D57" i="5"/>
  <c r="D56" i="5"/>
  <c r="D55" i="5"/>
  <c r="X64" i="4"/>
  <c r="Z64" i="4"/>
  <c r="C52" i="5"/>
  <c r="X65" i="4"/>
  <c r="Z65" i="4"/>
  <c r="C53" i="5"/>
  <c r="P104" i="4"/>
  <c r="T104" i="4"/>
  <c r="U104" i="4"/>
  <c r="W104" i="4"/>
  <c r="P105" i="4"/>
  <c r="T105" i="4"/>
  <c r="U105" i="4"/>
  <c r="W105" i="4"/>
  <c r="P106" i="4"/>
  <c r="T106" i="4"/>
  <c r="U106" i="4"/>
  <c r="W106" i="4"/>
  <c r="P107" i="4"/>
  <c r="T107" i="4"/>
  <c r="U107" i="4"/>
  <c r="W107" i="4"/>
  <c r="P108" i="4"/>
  <c r="T108" i="4"/>
  <c r="U108" i="4"/>
  <c r="W108" i="4"/>
  <c r="P109" i="4"/>
  <c r="T109" i="4"/>
  <c r="U109" i="4"/>
  <c r="W109" i="4"/>
  <c r="P110" i="4"/>
  <c r="T110" i="4"/>
  <c r="U110" i="4"/>
  <c r="W110" i="4"/>
  <c r="N104" i="6"/>
  <c r="P104" i="6"/>
  <c r="T104" i="6"/>
  <c r="U104" i="6"/>
  <c r="N105" i="6"/>
  <c r="P105" i="6"/>
  <c r="T105" i="6"/>
  <c r="U105" i="6"/>
  <c r="N106" i="6"/>
  <c r="P106" i="6"/>
  <c r="T106" i="6"/>
  <c r="U106" i="6"/>
  <c r="N107" i="6"/>
  <c r="P107" i="6"/>
  <c r="T107" i="6"/>
  <c r="U107" i="6"/>
  <c r="N108" i="6"/>
  <c r="P108" i="6"/>
  <c r="T108" i="6"/>
  <c r="U108" i="6"/>
  <c r="N109" i="6"/>
  <c r="P109" i="6"/>
  <c r="T109" i="6"/>
  <c r="U109" i="6"/>
  <c r="N110" i="6"/>
  <c r="P110" i="6"/>
  <c r="T110" i="6"/>
  <c r="U110" i="6"/>
  <c r="D53" i="5"/>
  <c r="D54" i="5"/>
  <c r="X59" i="4"/>
  <c r="Z59" i="4"/>
  <c r="C47" i="5"/>
  <c r="X60" i="4"/>
  <c r="Z60" i="4"/>
  <c r="C48" i="5"/>
  <c r="X61" i="4"/>
  <c r="Z61" i="4"/>
  <c r="C49" i="5"/>
  <c r="X62" i="4"/>
  <c r="Z62" i="4"/>
  <c r="C50" i="5"/>
  <c r="X63" i="4"/>
  <c r="Z63" i="4"/>
  <c r="C51" i="5"/>
  <c r="D52" i="5"/>
  <c r="D48" i="5"/>
  <c r="D50" i="5"/>
  <c r="D51" i="5"/>
  <c r="D49" i="5"/>
  <c r="G19" i="3"/>
  <c r="C7" i="4"/>
  <c r="D10" i="4"/>
  <c r="E10" i="4"/>
  <c r="D11" i="4"/>
  <c r="E11" i="4"/>
  <c r="N18" i="4"/>
  <c r="P18" i="4"/>
  <c r="T18" i="4"/>
  <c r="U18" i="4"/>
  <c r="W18" i="4"/>
  <c r="X18" i="4"/>
  <c r="Z18" i="4"/>
  <c r="N19" i="4"/>
  <c r="P19" i="4"/>
  <c r="T19" i="4"/>
  <c r="U19" i="4"/>
  <c r="W19" i="4"/>
  <c r="X19" i="4"/>
  <c r="Z19" i="4"/>
  <c r="N20" i="4"/>
  <c r="P20" i="4"/>
  <c r="T20" i="4"/>
  <c r="U20" i="4"/>
  <c r="W20" i="4"/>
  <c r="X20" i="4"/>
  <c r="Z20" i="4"/>
  <c r="N21" i="4"/>
  <c r="P21" i="4"/>
  <c r="T21" i="4"/>
  <c r="U21" i="4"/>
  <c r="W21" i="4"/>
  <c r="X21" i="4"/>
  <c r="Z21" i="4"/>
  <c r="N22" i="4"/>
  <c r="P22" i="4"/>
  <c r="T22" i="4"/>
  <c r="U22" i="4"/>
  <c r="W22" i="4"/>
  <c r="X22" i="4"/>
  <c r="Z22" i="4"/>
  <c r="N23" i="4"/>
  <c r="P23" i="4"/>
  <c r="T23" i="4"/>
  <c r="U23" i="4"/>
  <c r="W23" i="4"/>
  <c r="X23" i="4"/>
  <c r="Z23" i="4"/>
  <c r="N24" i="4"/>
  <c r="P24" i="4"/>
  <c r="T24" i="4"/>
  <c r="U24" i="4"/>
  <c r="W24" i="4"/>
  <c r="X24" i="4"/>
  <c r="Z24" i="4"/>
  <c r="N25" i="4"/>
  <c r="P25" i="4"/>
  <c r="T25" i="4"/>
  <c r="U25" i="4"/>
  <c r="W25" i="4"/>
  <c r="X25" i="4"/>
  <c r="Z25" i="4"/>
  <c r="N26" i="4"/>
  <c r="P26" i="4"/>
  <c r="T26" i="4"/>
  <c r="U26" i="4"/>
  <c r="W26" i="4"/>
  <c r="X26" i="4"/>
  <c r="Z26" i="4"/>
  <c r="N27" i="4"/>
  <c r="P27" i="4"/>
  <c r="T27" i="4"/>
  <c r="U27" i="4"/>
  <c r="W27" i="4"/>
  <c r="X27" i="4"/>
  <c r="Z27" i="4"/>
  <c r="N28" i="4"/>
  <c r="P28" i="4"/>
  <c r="T28" i="4"/>
  <c r="U28" i="4"/>
  <c r="W28" i="4"/>
  <c r="X28" i="4"/>
  <c r="Z28" i="4"/>
  <c r="N29" i="4"/>
  <c r="P29" i="4"/>
  <c r="T29" i="4"/>
  <c r="U29" i="4"/>
  <c r="W29" i="4"/>
  <c r="X29" i="4"/>
  <c r="Z29" i="4"/>
  <c r="N30" i="4"/>
  <c r="P30" i="4"/>
  <c r="T30" i="4"/>
  <c r="U30" i="4"/>
  <c r="W30" i="4"/>
  <c r="X30" i="4"/>
  <c r="Z30" i="4"/>
  <c r="N31" i="4"/>
  <c r="P31" i="4"/>
  <c r="T31" i="4"/>
  <c r="U31" i="4"/>
  <c r="W31" i="4"/>
  <c r="X31" i="4"/>
  <c r="Z31" i="4"/>
  <c r="N32" i="4"/>
  <c r="P32" i="4"/>
  <c r="T32" i="4"/>
  <c r="U32" i="4"/>
  <c r="W32" i="4"/>
  <c r="X32" i="4"/>
  <c r="Z32" i="4"/>
  <c r="N33" i="4"/>
  <c r="P33" i="4"/>
  <c r="T33" i="4"/>
  <c r="U33" i="4"/>
  <c r="W33" i="4"/>
  <c r="X33" i="4"/>
  <c r="Z33" i="4"/>
  <c r="N34" i="4"/>
  <c r="P34" i="4"/>
  <c r="T34" i="4"/>
  <c r="U34" i="4"/>
  <c r="W34" i="4"/>
  <c r="X34" i="4"/>
  <c r="Z34" i="4"/>
  <c r="N35" i="4"/>
  <c r="P35" i="4"/>
  <c r="T35" i="4"/>
  <c r="U35" i="4"/>
  <c r="W35" i="4"/>
  <c r="X35" i="4"/>
  <c r="Z35" i="4"/>
  <c r="N36" i="4"/>
  <c r="P36" i="4"/>
  <c r="T36" i="4"/>
  <c r="U36" i="4"/>
  <c r="W36" i="4"/>
  <c r="X36" i="4"/>
  <c r="Z36" i="4"/>
  <c r="N37" i="4"/>
  <c r="P37" i="4"/>
  <c r="T37" i="4"/>
  <c r="U37" i="4"/>
  <c r="W37" i="4"/>
  <c r="X37" i="4"/>
  <c r="Z37" i="4"/>
  <c r="N38" i="4"/>
  <c r="P38" i="4"/>
  <c r="T38" i="4"/>
  <c r="U38" i="4"/>
  <c r="W38" i="4"/>
  <c r="X38" i="4"/>
  <c r="Z38" i="4"/>
  <c r="N39" i="4"/>
  <c r="P39" i="4"/>
  <c r="T39" i="4"/>
  <c r="U39" i="4"/>
  <c r="W39" i="4"/>
  <c r="X39" i="4"/>
  <c r="Z39" i="4"/>
  <c r="N40" i="4"/>
  <c r="P40" i="4"/>
  <c r="T40" i="4"/>
  <c r="U40" i="4"/>
  <c r="W40" i="4"/>
  <c r="X40" i="4"/>
  <c r="Z40" i="4"/>
  <c r="N41" i="4"/>
  <c r="P41" i="4"/>
  <c r="T41" i="4"/>
  <c r="U41" i="4"/>
  <c r="W41" i="4"/>
  <c r="X41" i="4"/>
  <c r="Z41" i="4"/>
  <c r="N42" i="4"/>
  <c r="P42" i="4"/>
  <c r="T42" i="4"/>
  <c r="U42" i="4"/>
  <c r="W42" i="4"/>
  <c r="X42" i="4"/>
  <c r="Z42" i="4"/>
  <c r="N43" i="4"/>
  <c r="P43" i="4"/>
  <c r="T43" i="4"/>
  <c r="U43" i="4"/>
  <c r="W43" i="4"/>
  <c r="X43" i="4"/>
  <c r="Z43" i="4"/>
  <c r="N44" i="4"/>
  <c r="P44" i="4"/>
  <c r="T44" i="4"/>
  <c r="U44" i="4"/>
  <c r="W44" i="4"/>
  <c r="X44" i="4"/>
  <c r="Z44" i="4"/>
  <c r="N45" i="4"/>
  <c r="P45" i="4"/>
  <c r="T45" i="4"/>
  <c r="U45" i="4"/>
  <c r="W45" i="4"/>
  <c r="X45" i="4"/>
  <c r="Z45" i="4"/>
  <c r="N46" i="4"/>
  <c r="P46" i="4"/>
  <c r="T46" i="4"/>
  <c r="U46" i="4"/>
  <c r="W46" i="4"/>
  <c r="X46" i="4"/>
  <c r="Z46" i="4"/>
  <c r="N47" i="4"/>
  <c r="P47" i="4"/>
  <c r="T47" i="4"/>
  <c r="U47" i="4"/>
  <c r="W47" i="4"/>
  <c r="X47" i="4"/>
  <c r="Z47" i="4"/>
  <c r="N48" i="4"/>
  <c r="P48" i="4"/>
  <c r="T48" i="4"/>
  <c r="U48" i="4"/>
  <c r="W48" i="4"/>
  <c r="X48" i="4"/>
  <c r="Z48" i="4"/>
  <c r="N49" i="4"/>
  <c r="P49" i="4"/>
  <c r="T49" i="4"/>
  <c r="U49" i="4"/>
  <c r="W49" i="4"/>
  <c r="X49" i="4"/>
  <c r="Z49" i="4"/>
  <c r="N50" i="4"/>
  <c r="P50" i="4"/>
  <c r="T50" i="4"/>
  <c r="U50" i="4"/>
  <c r="W50" i="4"/>
  <c r="X50" i="4"/>
  <c r="Z50" i="4"/>
  <c r="N51" i="4"/>
  <c r="P51" i="4"/>
  <c r="T51" i="4"/>
  <c r="U51" i="4"/>
  <c r="W51" i="4"/>
  <c r="X51" i="4"/>
  <c r="Z51" i="4"/>
  <c r="N52" i="4"/>
  <c r="P52" i="4"/>
  <c r="T52" i="4"/>
  <c r="U52" i="4"/>
  <c r="W52" i="4"/>
  <c r="X52" i="4"/>
  <c r="Z52" i="4"/>
  <c r="N53" i="4"/>
  <c r="P53" i="4"/>
  <c r="T53" i="4"/>
  <c r="U53" i="4"/>
  <c r="W53" i="4"/>
  <c r="X53" i="4"/>
  <c r="Z53" i="4"/>
  <c r="N54" i="4"/>
  <c r="P54" i="4"/>
  <c r="T54" i="4"/>
  <c r="U54" i="4"/>
  <c r="W54" i="4"/>
  <c r="X54" i="4"/>
  <c r="Z54" i="4"/>
  <c r="N55" i="4"/>
  <c r="P55" i="4"/>
  <c r="T55" i="4"/>
  <c r="U55" i="4"/>
  <c r="W55" i="4"/>
  <c r="X55" i="4"/>
  <c r="Z55" i="4"/>
  <c r="N56" i="4"/>
  <c r="P56" i="4"/>
  <c r="T56" i="4"/>
  <c r="U56" i="4"/>
  <c r="W56" i="4"/>
  <c r="X56" i="4"/>
  <c r="Z56" i="4"/>
  <c r="N57" i="4"/>
  <c r="P57" i="4"/>
  <c r="T57" i="4"/>
  <c r="U57" i="4"/>
  <c r="W57" i="4"/>
  <c r="X57" i="4"/>
  <c r="Z57" i="4"/>
  <c r="N58" i="4"/>
  <c r="P58" i="4"/>
  <c r="T58" i="4"/>
  <c r="U58" i="4"/>
  <c r="W58" i="4"/>
  <c r="X58" i="4"/>
  <c r="Z58" i="4"/>
  <c r="N59" i="4"/>
  <c r="P59" i="4"/>
  <c r="T59" i="4"/>
  <c r="U59" i="4"/>
  <c r="W59" i="4"/>
  <c r="N60" i="4"/>
  <c r="P60" i="4"/>
  <c r="T60" i="4"/>
  <c r="U60" i="4"/>
  <c r="W60" i="4"/>
  <c r="N61" i="4"/>
  <c r="P61" i="4"/>
  <c r="T61" i="4"/>
  <c r="U61" i="4"/>
  <c r="W61" i="4"/>
  <c r="N62" i="4"/>
  <c r="P62" i="4"/>
  <c r="T62" i="4"/>
  <c r="U62" i="4"/>
  <c r="W62" i="4"/>
  <c r="N63" i="4"/>
  <c r="P63" i="4"/>
  <c r="T63" i="4"/>
  <c r="U63" i="4"/>
  <c r="W63" i="4"/>
  <c r="N64" i="4"/>
  <c r="P64" i="4"/>
  <c r="T64" i="4"/>
  <c r="U64" i="4"/>
  <c r="W64" i="4"/>
  <c r="N65" i="4"/>
  <c r="P65" i="4"/>
  <c r="T65" i="4"/>
  <c r="U65" i="4"/>
  <c r="W65" i="4"/>
  <c r="N66" i="4"/>
  <c r="P66" i="4"/>
  <c r="T66" i="4"/>
  <c r="U66" i="4"/>
  <c r="W66" i="4"/>
  <c r="N67" i="4"/>
  <c r="P67" i="4"/>
  <c r="T67" i="4"/>
  <c r="U67" i="4"/>
  <c r="W67" i="4"/>
  <c r="N68" i="4"/>
  <c r="P68" i="4"/>
  <c r="T68" i="4"/>
  <c r="U68" i="4"/>
  <c r="W68" i="4"/>
  <c r="N69" i="4"/>
  <c r="P69" i="4"/>
  <c r="T69" i="4"/>
  <c r="U69" i="4"/>
  <c r="W69" i="4"/>
  <c r="N70" i="4"/>
  <c r="P70" i="4"/>
  <c r="T70" i="4"/>
  <c r="U70" i="4"/>
  <c r="W70" i="4"/>
  <c r="N71" i="4"/>
  <c r="P71" i="4"/>
  <c r="T71" i="4"/>
  <c r="U71" i="4"/>
  <c r="W71" i="4"/>
  <c r="N72" i="4"/>
  <c r="P72" i="4"/>
  <c r="T72" i="4"/>
  <c r="U72" i="4"/>
  <c r="W72" i="4"/>
  <c r="N73" i="4"/>
  <c r="P73" i="4"/>
  <c r="T73" i="4"/>
  <c r="U73" i="4"/>
  <c r="W73" i="4"/>
  <c r="N74" i="4"/>
  <c r="P74" i="4"/>
  <c r="T74" i="4"/>
  <c r="U74" i="4"/>
  <c r="W74" i="4"/>
  <c r="N75" i="4"/>
  <c r="P75" i="4"/>
  <c r="T75" i="4"/>
  <c r="U75" i="4"/>
  <c r="W75" i="4"/>
  <c r="N76" i="4"/>
  <c r="P76" i="4"/>
  <c r="T76" i="4"/>
  <c r="U76" i="4"/>
  <c r="W76" i="4"/>
  <c r="N77" i="4"/>
  <c r="P77" i="4"/>
  <c r="T77" i="4"/>
  <c r="U77" i="4"/>
  <c r="W77" i="4"/>
  <c r="N78" i="4"/>
  <c r="P78" i="4"/>
  <c r="T78" i="4"/>
  <c r="U78" i="4"/>
  <c r="W78" i="4"/>
  <c r="N79" i="4"/>
  <c r="P79" i="4"/>
  <c r="T79" i="4"/>
  <c r="U79" i="4"/>
  <c r="W79" i="4"/>
  <c r="N80" i="4"/>
  <c r="P80" i="4"/>
  <c r="T80" i="4"/>
  <c r="U80" i="4"/>
  <c r="W80" i="4"/>
  <c r="N81" i="4"/>
  <c r="P81" i="4"/>
  <c r="T81" i="4"/>
  <c r="U81" i="4"/>
  <c r="W81" i="4"/>
  <c r="N82" i="4"/>
  <c r="P82" i="4"/>
  <c r="T82" i="4"/>
  <c r="U82" i="4"/>
  <c r="W82" i="4"/>
  <c r="N83" i="4"/>
  <c r="P83" i="4"/>
  <c r="T83" i="4"/>
  <c r="U83" i="4"/>
  <c r="W83" i="4"/>
  <c r="N84" i="4"/>
  <c r="P84" i="4"/>
  <c r="T84" i="4"/>
  <c r="U84" i="4"/>
  <c r="W84" i="4"/>
  <c r="N85" i="4"/>
  <c r="P85" i="4"/>
  <c r="T85" i="4"/>
  <c r="U85" i="4"/>
  <c r="W85" i="4"/>
  <c r="N86" i="4"/>
  <c r="P86" i="4"/>
  <c r="T86" i="4"/>
  <c r="U86" i="4"/>
  <c r="W86" i="4"/>
  <c r="N87" i="4"/>
  <c r="P87" i="4"/>
  <c r="T87" i="4"/>
  <c r="U87" i="4"/>
  <c r="W87" i="4"/>
  <c r="N88" i="4"/>
  <c r="P88" i="4"/>
  <c r="T88" i="4"/>
  <c r="U88" i="4"/>
  <c r="W88" i="4"/>
  <c r="N89" i="4"/>
  <c r="P89" i="4"/>
  <c r="T89" i="4"/>
  <c r="U89" i="4"/>
  <c r="W89" i="4"/>
  <c r="N90" i="4"/>
  <c r="P90" i="4"/>
  <c r="T90" i="4"/>
  <c r="U90" i="4"/>
  <c r="W90" i="4"/>
  <c r="N91" i="4"/>
  <c r="P91" i="4"/>
  <c r="T91" i="4"/>
  <c r="U91" i="4"/>
  <c r="W91" i="4"/>
  <c r="N92" i="4"/>
  <c r="P92" i="4"/>
  <c r="T92" i="4"/>
  <c r="U92" i="4"/>
  <c r="W92" i="4"/>
  <c r="N93" i="4"/>
  <c r="P93" i="4"/>
  <c r="T93" i="4"/>
  <c r="U93" i="4"/>
  <c r="W93" i="4"/>
  <c r="N94" i="4"/>
  <c r="P94" i="4"/>
  <c r="T94" i="4"/>
  <c r="U94" i="4"/>
  <c r="W94" i="4"/>
  <c r="N95" i="4"/>
  <c r="P95" i="4"/>
  <c r="T95" i="4"/>
  <c r="U95" i="4"/>
  <c r="W95" i="4"/>
  <c r="N96" i="4"/>
  <c r="P96" i="4"/>
  <c r="T96" i="4"/>
  <c r="U96" i="4"/>
  <c r="W96" i="4"/>
  <c r="N97" i="4"/>
  <c r="P97" i="4"/>
  <c r="T97" i="4"/>
  <c r="U97" i="4"/>
  <c r="W97" i="4"/>
  <c r="N98" i="4"/>
  <c r="P98" i="4"/>
  <c r="T98" i="4"/>
  <c r="U98" i="4"/>
  <c r="W98" i="4"/>
  <c r="N99" i="4"/>
  <c r="P99" i="4"/>
  <c r="T99" i="4"/>
  <c r="U99" i="4"/>
  <c r="W99" i="4"/>
  <c r="N100" i="4"/>
  <c r="P100" i="4"/>
  <c r="T100" i="4"/>
  <c r="U100" i="4"/>
  <c r="W100" i="4"/>
  <c r="N101" i="4"/>
  <c r="P101" i="4"/>
  <c r="T101" i="4"/>
  <c r="U101" i="4"/>
  <c r="W101" i="4"/>
  <c r="N102" i="4"/>
  <c r="P102" i="4"/>
  <c r="T102" i="4"/>
  <c r="U102" i="4"/>
  <c r="W102" i="4"/>
  <c r="N103" i="4"/>
  <c r="P103" i="4"/>
  <c r="T103" i="4"/>
  <c r="U103" i="4"/>
  <c r="W103" i="4"/>
  <c r="A3" i="5"/>
  <c r="C7" i="5"/>
  <c r="D7" i="5"/>
  <c r="C8" i="5"/>
  <c r="D8" i="5"/>
  <c r="C9" i="5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D47" i="5"/>
  <c r="C7" i="6"/>
  <c r="E10" i="6"/>
  <c r="E11" i="6"/>
  <c r="N18" i="6"/>
  <c r="P18" i="6"/>
  <c r="T18" i="6"/>
  <c r="U18" i="6"/>
  <c r="N19" i="6"/>
  <c r="P19" i="6"/>
  <c r="T19" i="6"/>
  <c r="U19" i="6"/>
  <c r="N20" i="6"/>
  <c r="P20" i="6"/>
  <c r="T20" i="6"/>
  <c r="U20" i="6"/>
  <c r="N21" i="6"/>
  <c r="P21" i="6"/>
  <c r="T21" i="6"/>
  <c r="U21" i="6"/>
  <c r="N22" i="6"/>
  <c r="P22" i="6"/>
  <c r="T22" i="6"/>
  <c r="U22" i="6"/>
  <c r="N23" i="6"/>
  <c r="P23" i="6"/>
  <c r="T23" i="6"/>
  <c r="U23" i="6"/>
  <c r="N24" i="6"/>
  <c r="P24" i="6"/>
  <c r="T24" i="6"/>
  <c r="U24" i="6"/>
  <c r="N25" i="6"/>
  <c r="P25" i="6"/>
  <c r="T25" i="6"/>
  <c r="U25" i="6"/>
  <c r="N26" i="6"/>
  <c r="P26" i="6"/>
  <c r="T26" i="6"/>
  <c r="U26" i="6"/>
  <c r="N27" i="6"/>
  <c r="P27" i="6"/>
  <c r="T27" i="6"/>
  <c r="U27" i="6"/>
  <c r="N28" i="6"/>
  <c r="P28" i="6"/>
  <c r="T28" i="6"/>
  <c r="U28" i="6"/>
  <c r="N29" i="6"/>
  <c r="P29" i="6"/>
  <c r="T29" i="6"/>
  <c r="U29" i="6"/>
  <c r="N30" i="6"/>
  <c r="P30" i="6"/>
  <c r="T30" i="6"/>
  <c r="U30" i="6"/>
  <c r="N31" i="6"/>
  <c r="P31" i="6"/>
  <c r="T31" i="6"/>
  <c r="U31" i="6"/>
  <c r="N32" i="6"/>
  <c r="P32" i="6"/>
  <c r="T32" i="6"/>
  <c r="U32" i="6"/>
  <c r="N33" i="6"/>
  <c r="P33" i="6"/>
  <c r="T33" i="6"/>
  <c r="U33" i="6"/>
  <c r="N34" i="6"/>
  <c r="P34" i="6"/>
  <c r="T34" i="6"/>
  <c r="U34" i="6"/>
  <c r="N35" i="6"/>
  <c r="P35" i="6"/>
  <c r="T35" i="6"/>
  <c r="U35" i="6"/>
  <c r="N36" i="6"/>
  <c r="P36" i="6"/>
  <c r="T36" i="6"/>
  <c r="U36" i="6"/>
  <c r="N37" i="6"/>
  <c r="P37" i="6"/>
  <c r="T37" i="6"/>
  <c r="U37" i="6"/>
  <c r="N38" i="6"/>
  <c r="P38" i="6"/>
  <c r="T38" i="6"/>
  <c r="U38" i="6"/>
  <c r="N39" i="6"/>
  <c r="P39" i="6"/>
  <c r="T39" i="6"/>
  <c r="U39" i="6"/>
  <c r="N40" i="6"/>
  <c r="P40" i="6"/>
  <c r="T40" i="6"/>
  <c r="U40" i="6"/>
  <c r="N41" i="6"/>
  <c r="P41" i="6"/>
  <c r="T41" i="6"/>
  <c r="U41" i="6"/>
  <c r="N42" i="6"/>
  <c r="P42" i="6"/>
  <c r="T42" i="6"/>
  <c r="U42" i="6"/>
  <c r="N43" i="6"/>
  <c r="P43" i="6"/>
  <c r="T43" i="6"/>
  <c r="U43" i="6"/>
  <c r="N44" i="6"/>
  <c r="P44" i="6"/>
  <c r="T44" i="6"/>
  <c r="U44" i="6"/>
  <c r="N45" i="6"/>
  <c r="P45" i="6"/>
  <c r="T45" i="6"/>
  <c r="U45" i="6"/>
  <c r="N46" i="6"/>
  <c r="P46" i="6"/>
  <c r="T46" i="6"/>
  <c r="U46" i="6"/>
  <c r="N47" i="6"/>
  <c r="P47" i="6"/>
  <c r="T47" i="6"/>
  <c r="U47" i="6"/>
  <c r="N48" i="6"/>
  <c r="P48" i="6"/>
  <c r="T48" i="6"/>
  <c r="U48" i="6"/>
  <c r="N49" i="6"/>
  <c r="P49" i="6"/>
  <c r="T49" i="6"/>
  <c r="U49" i="6"/>
  <c r="N50" i="6"/>
  <c r="P50" i="6"/>
  <c r="T50" i="6"/>
  <c r="U50" i="6"/>
  <c r="N51" i="6"/>
  <c r="P51" i="6"/>
  <c r="T51" i="6"/>
  <c r="U51" i="6"/>
  <c r="N52" i="6"/>
  <c r="P52" i="6"/>
  <c r="T52" i="6"/>
  <c r="U52" i="6"/>
  <c r="N53" i="6"/>
  <c r="P53" i="6"/>
  <c r="T53" i="6"/>
  <c r="U53" i="6"/>
  <c r="N54" i="6"/>
  <c r="P54" i="6"/>
  <c r="T54" i="6"/>
  <c r="U54" i="6"/>
  <c r="N55" i="6"/>
  <c r="P55" i="6"/>
  <c r="T55" i="6"/>
  <c r="U55" i="6"/>
  <c r="N56" i="6"/>
  <c r="P56" i="6"/>
  <c r="T56" i="6"/>
  <c r="U56" i="6"/>
  <c r="N57" i="6"/>
  <c r="P57" i="6"/>
  <c r="T57" i="6"/>
  <c r="U57" i="6"/>
  <c r="N58" i="6"/>
  <c r="P58" i="6"/>
  <c r="T58" i="6"/>
  <c r="U58" i="6"/>
  <c r="N59" i="6"/>
  <c r="P59" i="6"/>
  <c r="T59" i="6"/>
  <c r="U59" i="6"/>
  <c r="N60" i="6"/>
  <c r="P60" i="6"/>
  <c r="T60" i="6"/>
  <c r="U60" i="6"/>
  <c r="N61" i="6"/>
  <c r="P61" i="6"/>
  <c r="T61" i="6"/>
  <c r="U61" i="6"/>
  <c r="N62" i="6"/>
  <c r="P62" i="6"/>
  <c r="T62" i="6"/>
  <c r="U62" i="6"/>
  <c r="N63" i="6"/>
  <c r="P63" i="6"/>
  <c r="T63" i="6"/>
  <c r="U63" i="6"/>
  <c r="N64" i="6"/>
  <c r="P64" i="6"/>
  <c r="T64" i="6"/>
  <c r="U64" i="6"/>
  <c r="N65" i="6"/>
  <c r="P65" i="6"/>
  <c r="T65" i="6"/>
  <c r="U65" i="6"/>
  <c r="N66" i="6"/>
  <c r="P66" i="6"/>
  <c r="T66" i="6"/>
  <c r="U66" i="6"/>
  <c r="N67" i="6"/>
  <c r="P67" i="6"/>
  <c r="T67" i="6"/>
  <c r="U67" i="6"/>
  <c r="N68" i="6"/>
  <c r="P68" i="6"/>
  <c r="T68" i="6"/>
  <c r="U68" i="6"/>
  <c r="N69" i="6"/>
  <c r="P69" i="6"/>
  <c r="T69" i="6"/>
  <c r="U69" i="6"/>
  <c r="N70" i="6"/>
  <c r="P70" i="6"/>
  <c r="T70" i="6"/>
  <c r="U70" i="6"/>
  <c r="N71" i="6"/>
  <c r="P71" i="6"/>
  <c r="T71" i="6"/>
  <c r="U71" i="6"/>
  <c r="N72" i="6"/>
  <c r="P72" i="6"/>
  <c r="T72" i="6"/>
  <c r="U72" i="6"/>
  <c r="N73" i="6"/>
  <c r="P73" i="6"/>
  <c r="T73" i="6"/>
  <c r="U73" i="6"/>
  <c r="N74" i="6"/>
  <c r="P74" i="6"/>
  <c r="T74" i="6"/>
  <c r="U74" i="6"/>
  <c r="N75" i="6"/>
  <c r="P75" i="6"/>
  <c r="T75" i="6"/>
  <c r="U75" i="6"/>
  <c r="N76" i="6"/>
  <c r="P76" i="6"/>
  <c r="T76" i="6"/>
  <c r="U76" i="6"/>
  <c r="N77" i="6"/>
  <c r="P77" i="6"/>
  <c r="T77" i="6"/>
  <c r="U77" i="6"/>
  <c r="N78" i="6"/>
  <c r="P78" i="6"/>
  <c r="T78" i="6"/>
  <c r="U78" i="6"/>
  <c r="N79" i="6"/>
  <c r="P79" i="6"/>
  <c r="T79" i="6"/>
  <c r="U79" i="6"/>
  <c r="N80" i="6"/>
  <c r="P80" i="6"/>
  <c r="T80" i="6"/>
  <c r="U80" i="6"/>
  <c r="N81" i="6"/>
  <c r="P81" i="6"/>
  <c r="T81" i="6"/>
  <c r="U81" i="6"/>
  <c r="N82" i="6"/>
  <c r="P82" i="6"/>
  <c r="T82" i="6"/>
  <c r="U82" i="6"/>
  <c r="N83" i="6"/>
  <c r="P83" i="6"/>
  <c r="T83" i="6"/>
  <c r="U83" i="6"/>
  <c r="N84" i="6"/>
  <c r="P84" i="6"/>
  <c r="T84" i="6"/>
  <c r="U84" i="6"/>
  <c r="N85" i="6"/>
  <c r="P85" i="6"/>
  <c r="T85" i="6"/>
  <c r="U85" i="6"/>
  <c r="N86" i="6"/>
  <c r="P86" i="6"/>
  <c r="T86" i="6"/>
  <c r="U86" i="6"/>
  <c r="N87" i="6"/>
  <c r="P87" i="6"/>
  <c r="T87" i="6"/>
  <c r="U87" i="6"/>
  <c r="N88" i="6"/>
  <c r="P88" i="6"/>
  <c r="T88" i="6"/>
  <c r="U88" i="6"/>
  <c r="N89" i="6"/>
  <c r="P89" i="6"/>
  <c r="T89" i="6"/>
  <c r="U89" i="6"/>
  <c r="N90" i="6"/>
  <c r="P90" i="6"/>
  <c r="T90" i="6"/>
  <c r="U90" i="6"/>
  <c r="N91" i="6"/>
  <c r="P91" i="6"/>
  <c r="T91" i="6"/>
  <c r="U91" i="6"/>
  <c r="N92" i="6"/>
  <c r="P92" i="6"/>
  <c r="T92" i="6"/>
  <c r="U92" i="6"/>
  <c r="N93" i="6"/>
  <c r="P93" i="6"/>
  <c r="T93" i="6"/>
  <c r="U93" i="6"/>
  <c r="N94" i="6"/>
  <c r="P94" i="6"/>
  <c r="T94" i="6"/>
  <c r="U94" i="6"/>
  <c r="N95" i="6"/>
  <c r="P95" i="6"/>
  <c r="T95" i="6"/>
  <c r="U95" i="6"/>
  <c r="N96" i="6"/>
  <c r="P96" i="6"/>
  <c r="T96" i="6"/>
  <c r="U96" i="6"/>
  <c r="N97" i="6"/>
  <c r="P97" i="6"/>
  <c r="T97" i="6"/>
  <c r="U97" i="6"/>
  <c r="N98" i="6"/>
  <c r="P98" i="6"/>
  <c r="T98" i="6"/>
  <c r="U98" i="6"/>
  <c r="N99" i="6"/>
  <c r="P99" i="6"/>
  <c r="T99" i="6"/>
  <c r="U99" i="6"/>
  <c r="N100" i="6"/>
  <c r="P100" i="6"/>
  <c r="T100" i="6"/>
  <c r="U100" i="6"/>
  <c r="N101" i="6"/>
  <c r="P101" i="6"/>
  <c r="T101" i="6"/>
  <c r="U101" i="6"/>
  <c r="N102" i="6"/>
  <c r="P102" i="6"/>
  <c r="T102" i="6"/>
  <c r="U102" i="6"/>
  <c r="N103" i="6"/>
  <c r="P103" i="6"/>
  <c r="T103" i="6"/>
  <c r="U10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<sst xmlns="http://schemas.openxmlformats.org/spreadsheetml/2006/main" count="288" uniqueCount="171">
  <si>
    <t>保险责任摘要</t>
  </si>
  <si>
    <t>PRODUCT DEFINITION</t>
  </si>
  <si>
    <t>OTHER IMPORTANT ASSUMPTIONS</t>
  </si>
  <si>
    <t>Age(x)</t>
  </si>
  <si>
    <t>投保年龄</t>
  </si>
  <si>
    <t>Life Table used</t>
  </si>
  <si>
    <t>Sex</t>
  </si>
  <si>
    <t>被保险人性别</t>
  </si>
  <si>
    <t>Prem</t>
  </si>
  <si>
    <t>BPP(105-x)</t>
  </si>
  <si>
    <t>剩余寿命</t>
  </si>
  <si>
    <t>CV</t>
  </si>
  <si>
    <t>Begin Age(ɛ)</t>
  </si>
  <si>
    <t>RSV</t>
  </si>
  <si>
    <t>End Age(ρ)</t>
  </si>
  <si>
    <t>Payage_phase(b)</t>
  </si>
  <si>
    <t>保险期间</t>
  </si>
  <si>
    <t>PPP</t>
  </si>
  <si>
    <t>缴费期间</t>
  </si>
  <si>
    <t>Prem Int</t>
  </si>
  <si>
    <t>计算保费使用的预定利率</t>
  </si>
  <si>
    <t>CV Int</t>
  </si>
  <si>
    <t>计算现金价值使用的预定利率</t>
  </si>
  <si>
    <t>Reserve Int</t>
  </si>
  <si>
    <t>Mort Int</t>
  </si>
  <si>
    <t>Face Amt(SA)</t>
  </si>
  <si>
    <t>基本保险金额</t>
  </si>
  <si>
    <t>AB_rate</t>
  </si>
  <si>
    <t>GB_rate</t>
  </si>
  <si>
    <t>Prem(GP)</t>
  </si>
  <si>
    <t>毛保费</t>
  </si>
  <si>
    <t>EXPENSE LOADING</t>
  </si>
  <si>
    <t>主险</t>
  </si>
  <si>
    <t>附加险</t>
  </si>
  <si>
    <t>保单年度</t>
  </si>
  <si>
    <t>交费期限为10年以下</t>
  </si>
  <si>
    <r>
      <rPr>
        <sz val="10"/>
        <rFont val="宋体"/>
        <family val="3"/>
        <charset val="134"/>
      </rPr>
      <t>交费期限为</t>
    </r>
    <r>
      <rPr>
        <sz val="10"/>
        <rFont val="Arial"/>
        <family val="2"/>
      </rPr>
      <t>10</t>
    </r>
    <r>
      <rPr>
        <sz val="10"/>
        <rFont val="宋体"/>
        <family val="3"/>
        <charset val="134"/>
      </rPr>
      <t>年至</t>
    </r>
    <r>
      <rPr>
        <sz val="10"/>
        <rFont val="Arial"/>
        <family val="2"/>
      </rPr>
      <t>19</t>
    </r>
    <r>
      <rPr>
        <sz val="10"/>
        <rFont val="宋体"/>
        <family val="3"/>
        <charset val="134"/>
      </rPr>
      <t>年</t>
    </r>
  </si>
  <si>
    <r>
      <rPr>
        <sz val="10"/>
        <rFont val="宋体"/>
        <family val="3"/>
        <charset val="134"/>
      </rPr>
      <t>交费期限为</t>
    </r>
    <r>
      <rPr>
        <sz val="10"/>
        <rFont val="Arial"/>
        <family val="2"/>
      </rPr>
      <t>20</t>
    </r>
    <r>
      <rPr>
        <sz val="10"/>
        <rFont val="宋体"/>
        <family val="3"/>
        <charset val="134"/>
      </rPr>
      <t>年</t>
    </r>
  </si>
  <si>
    <t>&lt;------------- Expense Loads for Product Filing --------------&gt;</t>
  </si>
  <si>
    <t>&lt;-------- Expense Loads for Product Filing ---------&gt;</t>
  </si>
  <si>
    <t>4~5</t>
  </si>
  <si>
    <t>6~10</t>
  </si>
  <si>
    <t>11+</t>
  </si>
  <si>
    <t>4~10</t>
  </si>
  <si>
    <t>20+</t>
  </si>
  <si>
    <t xml:space="preserve"> MORTALITY TABLE</t>
  </si>
  <si>
    <t>China Life Insurance Mortality Table (2025)</t>
  </si>
  <si>
    <t>Age Nearest Birthday</t>
  </si>
  <si>
    <t>Annuity</t>
  </si>
  <si>
    <t>Life-1</t>
  </si>
  <si>
    <t>Life-2</t>
  </si>
  <si>
    <t>CL1</t>
  </si>
  <si>
    <t>CL2</t>
  </si>
  <si>
    <t>CL3</t>
  </si>
  <si>
    <t>CL4</t>
  </si>
  <si>
    <t>Table</t>
  </si>
  <si>
    <t>Life-union</t>
  </si>
  <si>
    <t>Age</t>
  </si>
  <si>
    <t>Male</t>
  </si>
  <si>
    <t>Female</t>
  </si>
  <si>
    <t xml:space="preserve">GROSS   PREMIUMN  CALCULATION </t>
  </si>
  <si>
    <t>Life Table</t>
  </si>
  <si>
    <t>b</t>
  </si>
  <si>
    <t>GP_total</t>
  </si>
  <si>
    <t>AB rate</t>
  </si>
  <si>
    <t>Face Amt</t>
  </si>
  <si>
    <t>GB rate</t>
  </si>
  <si>
    <t>Gross Premium</t>
  </si>
  <si>
    <t>Net Premium</t>
  </si>
  <si>
    <t>期初t</t>
  </si>
  <si>
    <t>期末t+1</t>
  </si>
  <si>
    <t>Mortality Rate</t>
  </si>
  <si>
    <t>Decrement</t>
  </si>
  <si>
    <r>
      <rPr>
        <b/>
        <sz val="10"/>
        <rFont val="宋体"/>
        <family val="3"/>
        <charset val="134"/>
      </rPr>
      <t>换算函数</t>
    </r>
  </si>
  <si>
    <t>GP&amp;NP_Prem</t>
  </si>
  <si>
    <t>t+1</t>
  </si>
  <si>
    <t>x+t</t>
  </si>
  <si>
    <t>qx+t</t>
  </si>
  <si>
    <t>Dx+t</t>
  </si>
  <si>
    <t>lx+t</t>
  </si>
  <si>
    <t>Cx+t</t>
  </si>
  <si>
    <t>Premium</t>
  </si>
  <si>
    <t>Annuity Benefit</t>
  </si>
  <si>
    <t>Guarantee Benefit</t>
  </si>
  <si>
    <t>Death Benefit</t>
  </si>
  <si>
    <r>
      <rPr>
        <b/>
        <sz val="9"/>
        <color rgb="FF0066FF"/>
        <rFont val="宋体"/>
        <family val="3"/>
        <charset val="134"/>
      </rPr>
      <t>从</t>
    </r>
    <r>
      <rPr>
        <b/>
        <sz val="9"/>
        <color rgb="FF0066FF"/>
        <rFont val="Arial"/>
        <family val="2"/>
      </rPr>
      <t>t=</t>
    </r>
    <r>
      <rPr>
        <b/>
        <sz val="9"/>
        <color rgb="FF0066FF"/>
        <rFont val="Calibri"/>
        <family val="2"/>
      </rPr>
      <t>ɛ</t>
    </r>
    <r>
      <rPr>
        <b/>
        <sz val="9"/>
        <color rgb="FF0066FF"/>
        <rFont val="宋体"/>
        <family val="3"/>
        <charset val="134"/>
      </rPr>
      <t>-x到</t>
    </r>
    <r>
      <rPr>
        <b/>
        <sz val="9"/>
        <color rgb="FF0066FF"/>
        <rFont val="Arial"/>
        <family val="2"/>
      </rPr>
      <t>t=b</t>
    </r>
  </si>
  <si>
    <r>
      <rPr>
        <b/>
        <sz val="9"/>
        <color rgb="FF0066FF"/>
        <rFont val="宋体"/>
        <family val="3"/>
        <charset val="134"/>
      </rPr>
      <t>从</t>
    </r>
    <r>
      <rPr>
        <b/>
        <sz val="9"/>
        <color rgb="FF0066FF"/>
        <rFont val="Arial"/>
        <family val="2"/>
      </rPr>
      <t>t=</t>
    </r>
    <r>
      <rPr>
        <b/>
        <sz val="9"/>
        <color rgb="FF0066FF"/>
        <rFont val="Calibri"/>
        <family val="2"/>
      </rPr>
      <t>ɛ</t>
    </r>
    <r>
      <rPr>
        <b/>
        <sz val="9"/>
        <color rgb="FF0066FF"/>
        <rFont val="宋体"/>
        <family val="3"/>
        <charset val="134"/>
      </rPr>
      <t>-x到</t>
    </r>
    <r>
      <rPr>
        <b/>
        <sz val="9"/>
        <color rgb="FF0066FF"/>
        <rFont val="Arial"/>
        <family val="2"/>
      </rPr>
      <t>t=</t>
    </r>
    <r>
      <rPr>
        <b/>
        <sz val="9"/>
        <color rgb="FF0066FF"/>
        <rFont val="Calibri"/>
        <family val="2"/>
      </rPr>
      <t>ρ</t>
    </r>
    <r>
      <rPr>
        <b/>
        <sz val="9"/>
        <color rgb="FF0066FF"/>
        <rFont val="Arial"/>
        <family val="2"/>
      </rPr>
      <t>-x</t>
    </r>
  </si>
  <si>
    <r>
      <rPr>
        <b/>
        <sz val="9"/>
        <color rgb="FF0066FF"/>
        <rFont val="宋体"/>
        <family val="3"/>
        <charset val="134"/>
      </rPr>
      <t>从</t>
    </r>
    <r>
      <rPr>
        <b/>
        <sz val="9"/>
        <color rgb="FF0066FF"/>
        <rFont val="Arial"/>
        <family val="2"/>
      </rPr>
      <t>t=0</t>
    </r>
    <r>
      <rPr>
        <b/>
        <sz val="9"/>
        <color rgb="FF0066FF"/>
        <rFont val="宋体"/>
        <family val="3"/>
        <charset val="134"/>
      </rPr>
      <t>到</t>
    </r>
    <r>
      <rPr>
        <b/>
        <sz val="9"/>
        <color rgb="FF0066FF"/>
        <rFont val="Arial"/>
        <family val="2"/>
      </rPr>
      <t>t=</t>
    </r>
    <r>
      <rPr>
        <b/>
        <sz val="9"/>
        <color rgb="FF0066FF"/>
        <rFont val="Calibri"/>
        <family val="2"/>
      </rPr>
      <t>ɛ</t>
    </r>
    <r>
      <rPr>
        <b/>
        <sz val="9"/>
        <color rgb="FF0066FF"/>
        <rFont val="Arial"/>
        <family val="2"/>
      </rPr>
      <t>-1</t>
    </r>
  </si>
  <si>
    <r>
      <rPr>
        <b/>
        <sz val="9"/>
        <color rgb="FF0066FF"/>
        <rFont val="宋体"/>
        <family val="3"/>
        <charset val="134"/>
      </rPr>
      <t>从</t>
    </r>
    <r>
      <rPr>
        <b/>
        <sz val="9"/>
        <color rgb="FF0066FF"/>
        <rFont val="Arial"/>
        <family val="2"/>
      </rPr>
      <t>t=0</t>
    </r>
    <r>
      <rPr>
        <b/>
        <sz val="9"/>
        <color rgb="FF0066FF"/>
        <rFont val="宋体"/>
        <family val="3"/>
        <charset val="134"/>
      </rPr>
      <t>到</t>
    </r>
    <r>
      <rPr>
        <b/>
        <sz val="9"/>
        <color rgb="FF0066FF"/>
        <rFont val="Arial"/>
        <family val="2"/>
      </rPr>
      <t>t=b-1</t>
    </r>
  </si>
  <si>
    <r>
      <rPr>
        <b/>
        <sz val="9"/>
        <color rgb="FF0066FF"/>
        <rFont val="宋体"/>
        <family val="3"/>
        <charset val="134"/>
      </rPr>
      <t>从</t>
    </r>
    <r>
      <rPr>
        <b/>
        <sz val="9"/>
        <color rgb="FF0066FF"/>
        <rFont val="Arial"/>
        <family val="2"/>
      </rPr>
      <t>t=0</t>
    </r>
    <r>
      <rPr>
        <b/>
        <sz val="9"/>
        <color rgb="FF0066FF"/>
        <rFont val="宋体"/>
        <family val="3"/>
        <charset val="134"/>
      </rPr>
      <t>到</t>
    </r>
    <r>
      <rPr>
        <b/>
        <sz val="9"/>
        <color rgb="FF0066FF"/>
        <rFont val="Arial"/>
        <family val="2"/>
      </rPr>
      <t>t=b</t>
    </r>
  </si>
  <si>
    <r>
      <rPr>
        <b/>
        <sz val="9"/>
        <color rgb="FF0066FF"/>
        <rFont val="宋体"/>
        <family val="3"/>
        <charset val="134"/>
      </rPr>
      <t>从</t>
    </r>
    <r>
      <rPr>
        <b/>
        <sz val="9"/>
        <color rgb="FF0066FF"/>
        <rFont val="Arial"/>
        <family val="2"/>
      </rPr>
      <t>t=0</t>
    </r>
    <r>
      <rPr>
        <b/>
        <sz val="9"/>
        <color rgb="FF0066FF"/>
        <rFont val="宋体"/>
        <family val="3"/>
        <charset val="134"/>
      </rPr>
      <t>到</t>
    </r>
    <r>
      <rPr>
        <b/>
        <sz val="9"/>
        <color rgb="FF0066FF"/>
        <rFont val="Arial"/>
        <family val="2"/>
      </rPr>
      <t>t=n-1</t>
    </r>
  </si>
  <si>
    <t>Year</t>
  </si>
  <si>
    <r>
      <rPr>
        <b/>
        <sz val="10"/>
        <rFont val="Arial"/>
        <family val="2"/>
      </rPr>
      <t>q</t>
    </r>
    <r>
      <rPr>
        <b/>
        <vertAlign val="subscript"/>
        <sz val="10"/>
        <rFont val="Arial"/>
        <family val="2"/>
      </rPr>
      <t>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</si>
  <si>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x</t>
    </r>
  </si>
  <si>
    <r>
      <rPr>
        <b/>
        <sz val="10"/>
        <rFont val="Arial"/>
        <family val="2"/>
      </rPr>
      <t>l</t>
    </r>
    <r>
      <rPr>
        <b/>
        <vertAlign val="subscript"/>
        <sz val="10"/>
        <rFont val="Arial"/>
        <family val="2"/>
      </rPr>
      <t>x</t>
    </r>
  </si>
  <si>
    <r>
      <rPr>
        <b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</si>
  <si>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x</t>
    </r>
  </si>
  <si>
    <t>Prem Unit</t>
  </si>
  <si>
    <t>AB Unit</t>
  </si>
  <si>
    <t>GB Unit</t>
  </si>
  <si>
    <t>DB Unit</t>
  </si>
  <si>
    <t>AB</t>
  </si>
  <si>
    <t>GB</t>
  </si>
  <si>
    <t>DB</t>
  </si>
  <si>
    <t>Exp</t>
  </si>
  <si>
    <r>
      <rPr>
        <b/>
        <sz val="10"/>
        <rFont val="Arial"/>
        <family val="2"/>
      </rPr>
      <t>(DB</t>
    </r>
    <r>
      <rPr>
        <b/>
        <vertAlign val="subscript"/>
        <sz val="10"/>
        <rFont val="Arial"/>
        <family val="2"/>
      </rPr>
      <t>x+t</t>
    </r>
    <r>
      <rPr>
        <b/>
        <sz val="10"/>
        <rFont val="Arial"/>
        <family val="2"/>
      </rPr>
      <t>+GB</t>
    </r>
    <r>
      <rPr>
        <b/>
        <vertAlign val="subscript"/>
        <sz val="10"/>
        <rFont val="Arial"/>
        <family val="2"/>
      </rPr>
      <t>x+t</t>
    </r>
    <r>
      <rPr>
        <b/>
        <sz val="10"/>
        <rFont val="Arial"/>
        <family val="2"/>
      </rPr>
      <t>)*C</t>
    </r>
    <r>
      <rPr>
        <b/>
        <vertAlign val="subscript"/>
        <sz val="10"/>
        <rFont val="Arial"/>
        <family val="2"/>
      </rPr>
      <t>x+t</t>
    </r>
  </si>
  <si>
    <r>
      <rPr>
        <b/>
        <sz val="10"/>
        <rFont val="Arial"/>
        <family val="2"/>
      </rPr>
      <t>(AB</t>
    </r>
    <r>
      <rPr>
        <b/>
        <vertAlign val="subscript"/>
        <sz val="10"/>
        <rFont val="Arial"/>
        <family val="2"/>
      </rPr>
      <t>x+t)</t>
    </r>
    <r>
      <rPr>
        <b/>
        <sz val="10"/>
        <rFont val="Arial"/>
        <family val="2"/>
      </rPr>
      <t>*D</t>
    </r>
    <r>
      <rPr>
        <b/>
        <vertAlign val="subscript"/>
        <sz val="10"/>
        <rFont val="Arial"/>
        <family val="2"/>
      </rPr>
      <t>x+t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</si>
  <si>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x+t</t>
    </r>
  </si>
  <si>
    <r>
      <rPr>
        <b/>
        <sz val="10"/>
        <rFont val="Arial"/>
        <family val="2"/>
      </rPr>
      <t>e</t>
    </r>
    <r>
      <rPr>
        <b/>
        <sz val="6"/>
        <rFont val="Arial"/>
        <family val="2"/>
      </rPr>
      <t>t</t>
    </r>
    <r>
      <rPr>
        <b/>
        <sz val="10"/>
        <rFont val="Arial"/>
        <family val="2"/>
      </rPr>
      <t>*D</t>
    </r>
    <r>
      <rPr>
        <b/>
        <vertAlign val="subscript"/>
        <sz val="10"/>
        <rFont val="Arial"/>
        <family val="2"/>
      </rPr>
      <t>x+t</t>
    </r>
  </si>
  <si>
    <r>
      <rPr>
        <b/>
        <sz val="10"/>
        <rFont val="Arial"/>
        <family val="2"/>
      </rPr>
      <t>NP</t>
    </r>
    <r>
      <rPr>
        <b/>
        <vertAlign val="subscript"/>
        <sz val="10"/>
        <rFont val="Arial"/>
        <family val="2"/>
      </rPr>
      <t>x+t</t>
    </r>
  </si>
  <si>
    <r>
      <rPr>
        <b/>
        <sz val="10"/>
        <rFont val="Arial"/>
        <family val="2"/>
      </rPr>
      <t>GP</t>
    </r>
    <r>
      <rPr>
        <b/>
        <vertAlign val="subscript"/>
        <sz val="10"/>
        <rFont val="Arial"/>
        <family val="2"/>
      </rPr>
      <t>x+t</t>
    </r>
  </si>
  <si>
    <t>CSV</t>
  </si>
  <si>
    <t>GP&amp;NP_CV</t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</si>
  <si>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t=</t>
    </r>
    <r>
      <rPr>
        <sz val="9"/>
        <color rgb="FF0066FF"/>
        <rFont val="Calibri"/>
        <family val="2"/>
      </rPr>
      <t>ɛ</t>
    </r>
    <r>
      <rPr>
        <sz val="9"/>
        <color rgb="FF0066FF"/>
        <rFont val="宋体"/>
        <family val="3"/>
        <charset val="134"/>
      </rPr>
      <t>-x到</t>
    </r>
    <r>
      <rPr>
        <sz val="9"/>
        <color rgb="FF0066FF"/>
        <rFont val="Arial"/>
        <family val="2"/>
      </rPr>
      <t>t=b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</si>
  <si>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t=</t>
    </r>
    <r>
      <rPr>
        <sz val="9"/>
        <color rgb="FF0066FF"/>
        <rFont val="Calibri"/>
        <family val="2"/>
      </rPr>
      <t>ɛ</t>
    </r>
    <r>
      <rPr>
        <sz val="9"/>
        <color rgb="FF0066FF"/>
        <rFont val="宋体"/>
        <family val="3"/>
        <charset val="134"/>
      </rPr>
      <t>-x到</t>
    </r>
    <r>
      <rPr>
        <sz val="9"/>
        <color rgb="FF0066FF"/>
        <rFont val="Arial"/>
        <family val="2"/>
      </rPr>
      <t>t=</t>
    </r>
    <r>
      <rPr>
        <sz val="9"/>
        <color rgb="FF0066FF"/>
        <rFont val="Calibri"/>
        <family val="2"/>
      </rPr>
      <t>ρ</t>
    </r>
    <r>
      <rPr>
        <sz val="9"/>
        <color rgb="FF0066FF"/>
        <rFont val="Arial"/>
        <family val="2"/>
      </rPr>
      <t>-x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</si>
  <si>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t=0</t>
    </r>
    <r>
      <rPr>
        <sz val="9"/>
        <color rgb="FF0066FF"/>
        <rFont val="宋体"/>
        <family val="3"/>
        <charset val="134"/>
      </rPr>
      <t>到</t>
    </r>
    <r>
      <rPr>
        <sz val="9"/>
        <color rgb="FF0066FF"/>
        <rFont val="Arial"/>
        <family val="2"/>
      </rPr>
      <t>t=</t>
    </r>
    <r>
      <rPr>
        <sz val="9"/>
        <color rgb="FF0066FF"/>
        <rFont val="Calibri"/>
        <family val="2"/>
      </rPr>
      <t>ɛ</t>
    </r>
    <r>
      <rPr>
        <sz val="9"/>
        <color rgb="FF0066FF"/>
        <rFont val="Arial"/>
        <family val="2"/>
      </rPr>
      <t>-1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</si>
  <si>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t=0</t>
    </r>
    <r>
      <rPr>
        <sz val="9"/>
        <color rgb="FF0066FF"/>
        <rFont val="宋体"/>
        <family val="3"/>
        <charset val="134"/>
      </rPr>
      <t>到</t>
    </r>
    <r>
      <rPr>
        <sz val="9"/>
        <color rgb="FF0066FF"/>
        <rFont val="Arial"/>
        <family val="2"/>
      </rPr>
      <t>t=b-1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</si>
  <si>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t=0</t>
    </r>
    <r>
      <rPr>
        <sz val="9"/>
        <color rgb="FF0066FF"/>
        <rFont val="宋体"/>
        <family val="3"/>
        <charset val="134"/>
      </rPr>
      <t>到</t>
    </r>
    <r>
      <rPr>
        <sz val="9"/>
        <color rgb="FF0066FF"/>
        <rFont val="Arial"/>
        <family val="2"/>
      </rPr>
      <t>t=b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</si>
  <si>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t=0</t>
    </r>
    <r>
      <rPr>
        <sz val="9"/>
        <color rgb="FF0066FF"/>
        <rFont val="宋体"/>
        <family val="3"/>
        <charset val="134"/>
      </rPr>
      <t>到</t>
    </r>
    <r>
      <rPr>
        <sz val="9"/>
        <color rgb="FF0066FF"/>
        <rFont val="Arial"/>
        <family val="2"/>
      </rPr>
      <t>t=n-1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</si>
  <si>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s=0</t>
    </r>
    <r>
      <rPr>
        <sz val="9"/>
        <color rgb="FF0066FF"/>
        <rFont val="宋体"/>
        <family val="3"/>
        <charset val="134"/>
      </rPr>
      <t>到</t>
    </r>
    <r>
      <rPr>
        <sz val="9"/>
        <color rgb="FF0066FF"/>
        <rFont val="Arial"/>
        <family val="2"/>
      </rPr>
      <t>s=b-t-1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</si>
  <si>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s=0</t>
    </r>
    <r>
      <rPr>
        <sz val="9"/>
        <color rgb="FF0066FF"/>
        <rFont val="宋体"/>
        <family val="3"/>
        <charset val="134"/>
      </rPr>
      <t>到</t>
    </r>
    <r>
      <rPr>
        <sz val="9"/>
        <color rgb="FF0066FF"/>
        <rFont val="Arial"/>
        <family val="2"/>
      </rPr>
      <t>s=b-t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</si>
  <si>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s=0</t>
    </r>
    <r>
      <rPr>
        <sz val="9"/>
        <color rgb="FF0066FF"/>
        <rFont val="宋体"/>
        <family val="3"/>
        <charset val="134"/>
      </rPr>
      <t>到</t>
    </r>
    <r>
      <rPr>
        <sz val="9"/>
        <color rgb="FF0066FF"/>
        <rFont val="Arial"/>
        <family val="2"/>
      </rPr>
      <t>s=n-t-1</t>
    </r>
  </si>
  <si>
    <r>
      <rPr>
        <sz val="9"/>
        <color rgb="FF0066FF"/>
        <rFont val="宋体"/>
        <family val="3"/>
        <charset val="134"/>
      </rPr>
      <t>从</t>
    </r>
    <r>
      <rPr>
        <sz val="9"/>
        <color rgb="FF0066FF"/>
        <rFont val="Arial"/>
        <family val="2"/>
      </rPr>
      <t>t=</t>
    </r>
    <r>
      <rPr>
        <sz val="9"/>
        <color rgb="FF0066FF"/>
        <rFont val="宋体"/>
        <family val="3"/>
        <charset val="134"/>
      </rPr>
      <t>0到</t>
    </r>
    <r>
      <rPr>
        <sz val="9"/>
        <color rgb="FF0066FF"/>
        <rFont val="Arial"/>
        <family val="2"/>
      </rPr>
      <t>t=</t>
    </r>
    <r>
      <rPr>
        <sz val="9"/>
        <color rgb="FF0066FF"/>
        <rFont val="Calibri"/>
        <family val="2"/>
      </rPr>
      <t>ɛ</t>
    </r>
    <r>
      <rPr>
        <sz val="9"/>
        <color rgb="FF0066FF"/>
        <rFont val="Arial"/>
        <family val="2"/>
      </rPr>
      <t>-x</t>
    </r>
  </si>
  <si>
    <r>
      <rPr>
        <b/>
        <sz val="10"/>
        <rFont val="Arial"/>
        <family val="2"/>
      </rPr>
      <t>NP</t>
    </r>
    <r>
      <rPr>
        <b/>
        <vertAlign val="subscript"/>
        <sz val="10"/>
        <rFont val="Arial"/>
        <family val="2"/>
      </rPr>
      <t>x+t+s</t>
    </r>
    <r>
      <rPr>
        <b/>
        <vertAlign val="superscript"/>
        <sz val="10"/>
        <rFont val="Arial"/>
        <family val="2"/>
      </rPr>
      <t>csv</t>
    </r>
  </si>
  <si>
    <r>
      <rPr>
        <b/>
        <sz val="10"/>
        <rFont val="Arial"/>
        <family val="2"/>
      </rPr>
      <t>(DB</t>
    </r>
    <r>
      <rPr>
        <b/>
        <vertAlign val="subscript"/>
        <sz val="10"/>
        <rFont val="Arial"/>
        <family val="2"/>
      </rPr>
      <t>x+t+s</t>
    </r>
    <r>
      <rPr>
        <b/>
        <sz val="10"/>
        <rFont val="Arial"/>
        <family val="2"/>
      </rPr>
      <t>+GB</t>
    </r>
    <r>
      <rPr>
        <b/>
        <vertAlign val="subscript"/>
        <sz val="10"/>
        <rFont val="Arial"/>
        <family val="2"/>
      </rPr>
      <t>x+t+s</t>
    </r>
    <r>
      <rPr>
        <b/>
        <sz val="10"/>
        <rFont val="Arial"/>
        <family val="2"/>
      </rPr>
      <t>)*C</t>
    </r>
    <r>
      <rPr>
        <b/>
        <vertAlign val="subscript"/>
        <sz val="10"/>
        <rFont val="Arial"/>
        <family val="2"/>
      </rPr>
      <t>x+t+s</t>
    </r>
  </si>
  <si>
    <r>
      <rPr>
        <b/>
        <sz val="10"/>
        <rFont val="Arial"/>
        <family val="2"/>
      </rPr>
      <t>AB</t>
    </r>
    <r>
      <rPr>
        <b/>
        <vertAlign val="subscript"/>
        <sz val="10"/>
        <rFont val="Arial"/>
        <family val="2"/>
      </rPr>
      <t>x+t+s</t>
    </r>
    <r>
      <rPr>
        <b/>
        <sz val="10"/>
        <rFont val="Arial"/>
        <family val="2"/>
      </rPr>
      <t>*D</t>
    </r>
    <r>
      <rPr>
        <b/>
        <vertAlign val="subscript"/>
        <sz val="10"/>
        <rFont val="Arial"/>
        <family val="2"/>
      </rPr>
      <t>x+t+s</t>
    </r>
  </si>
  <si>
    <r>
      <rPr>
        <b/>
        <sz val="10"/>
        <rFont val="Arial"/>
        <family val="2"/>
      </rPr>
      <t>NP</t>
    </r>
    <r>
      <rPr>
        <b/>
        <vertAlign val="subscript"/>
        <sz val="10"/>
        <rFont val="Arial"/>
        <family val="2"/>
      </rPr>
      <t>x+t+s</t>
    </r>
    <r>
      <rPr>
        <b/>
        <vertAlign val="superscript"/>
        <sz val="10"/>
        <rFont val="Arial"/>
        <family val="2"/>
      </rPr>
      <t>csv</t>
    </r>
    <r>
      <rPr>
        <b/>
        <sz val="10"/>
        <rFont val="Arial"/>
        <family val="2"/>
      </rPr>
      <t>*D</t>
    </r>
    <r>
      <rPr>
        <b/>
        <vertAlign val="subscript"/>
        <sz val="10"/>
        <rFont val="Arial"/>
        <family val="2"/>
      </rPr>
      <t>x+t+s</t>
    </r>
  </si>
  <si>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CV</t>
    </r>
    <r>
      <rPr>
        <b/>
        <vertAlign val="subscript"/>
        <sz val="10"/>
        <rFont val="Arial"/>
        <family val="2"/>
      </rPr>
      <t>x</t>
    </r>
  </si>
  <si>
    <t>γ</t>
  </si>
  <si>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CSV</t>
    </r>
    <r>
      <rPr>
        <b/>
        <vertAlign val="subscript"/>
        <sz val="10"/>
        <rFont val="Arial"/>
        <family val="2"/>
      </rPr>
      <t>x</t>
    </r>
  </si>
  <si>
    <t>趸交</t>
  </si>
  <si>
    <t>10年交</t>
  </si>
  <si>
    <t>25年交</t>
  </si>
  <si>
    <t>男性</t>
  </si>
  <si>
    <t>女性</t>
  </si>
  <si>
    <t>1M</t>
  </si>
  <si>
    <t>1F</t>
  </si>
  <si>
    <t>10M</t>
  </si>
  <si>
    <t>10F</t>
  </si>
  <si>
    <t>25M</t>
  </si>
  <si>
    <t>25F</t>
  </si>
  <si>
    <t>费率锁定</t>
  </si>
  <si>
    <t>保险单年度末</t>
  </si>
  <si>
    <t>单位：人民币元</t>
  </si>
  <si>
    <t>保费汇总（每1000元基本保额）</t>
  </si>
  <si>
    <t>投保年龄</t>
    <phoneticPr fontId="32" type="noConversion"/>
  </si>
  <si>
    <t>男性</t>
    <phoneticPr fontId="32" type="noConversion"/>
  </si>
  <si>
    <t>女性</t>
    <phoneticPr fontId="32" type="noConversion"/>
  </si>
  <si>
    <t>趸交</t>
    <phoneticPr fontId="32" type="noConversion"/>
  </si>
  <si>
    <t>10年交</t>
    <phoneticPr fontId="32" type="noConversion"/>
  </si>
  <si>
    <t>20年交</t>
    <phoneticPr fontId="32" type="noConversion"/>
  </si>
  <si>
    <t>60岁开始领取</t>
    <phoneticPr fontId="32" type="noConversion"/>
  </si>
  <si>
    <t>65岁开始领取</t>
    <phoneticPr fontId="32" type="noConversion"/>
  </si>
  <si>
    <t>70岁开始领取</t>
    <phoneticPr fontId="32" type="noConversion"/>
  </si>
  <si>
    <t>25年交</t>
    <phoneticPr fontId="32" type="noConversion"/>
  </si>
  <si>
    <t>M</t>
  </si>
  <si>
    <r>
      <t>养老年金</t>
    </r>
    <r>
      <rPr>
        <sz val="10"/>
        <color rgb="FF000000"/>
        <rFont val="Arial"/>
        <family val="2"/>
      </rPr>
      <t>(ANB)</t>
    </r>
    <r>
      <rPr>
        <sz val="10"/>
        <color rgb="FF000000"/>
        <rFont val="宋体"/>
        <family val="3"/>
        <charset val="134"/>
      </rPr>
      <t>开始给付的年龄</t>
    </r>
    <r>
      <rPr>
        <sz val="10"/>
        <color rgb="FF000000"/>
        <rFont val="Arial"/>
        <family val="2"/>
      </rPr>
      <t>ɛ</t>
    </r>
  </si>
  <si>
    <r>
      <t>养老年金保证给付</t>
    </r>
    <r>
      <rPr>
        <sz val="10"/>
        <color rgb="FF000000"/>
        <rFont val="Arial"/>
        <family val="2"/>
      </rPr>
      <t>(GUB)</t>
    </r>
    <r>
      <rPr>
        <sz val="10"/>
        <color rgb="FF000000"/>
        <rFont val="宋体"/>
        <family val="3"/>
        <charset val="134"/>
      </rPr>
      <t>的截至年龄</t>
    </r>
    <r>
      <rPr>
        <sz val="10"/>
        <color rgb="FF000000"/>
        <rFont val="Arial"/>
        <family val="2"/>
      </rPr>
      <t>ρ</t>
    </r>
  </si>
  <si>
    <r>
      <t>采用</t>
    </r>
    <r>
      <rPr>
        <sz val="10"/>
        <color rgb="FF000000"/>
        <rFont val="Arial"/>
        <family val="2"/>
      </rPr>
      <t xml:space="preserve"> 80% </t>
    </r>
    <r>
      <rPr>
        <sz val="10"/>
        <color rgb="FF000000"/>
        <rFont val="宋体"/>
        <family val="3"/>
        <charset val="134"/>
      </rPr>
      <t>中国人身保险业经验生命表（</t>
    </r>
    <r>
      <rPr>
        <sz val="10"/>
        <color rgb="FF000000"/>
        <rFont val="Arial"/>
        <family val="2"/>
      </rPr>
      <t>2025</t>
    </r>
    <r>
      <rPr>
        <sz val="10"/>
        <color rgb="FF000000"/>
        <rFont val="宋体"/>
        <family val="3"/>
        <charset val="134"/>
      </rPr>
      <t>）之年金业务（</t>
    </r>
    <r>
      <rPr>
        <sz val="10"/>
        <color rgb="FF000000"/>
        <rFont val="Arial"/>
        <family val="2"/>
      </rPr>
      <t>CL1</t>
    </r>
    <r>
      <rPr>
        <sz val="10"/>
        <color rgb="FF000000"/>
        <rFont val="宋体"/>
        <family val="3"/>
        <charset val="134"/>
      </rPr>
      <t>）表</t>
    </r>
  </si>
  <si>
    <r>
      <t>养老年金</t>
    </r>
    <r>
      <rPr>
        <sz val="10"/>
        <color rgb="FF000000"/>
        <rFont val="Arial"/>
        <family val="2"/>
      </rPr>
      <t>(ANB)</t>
    </r>
    <r>
      <rPr>
        <sz val="10"/>
        <color rgb="FF000000"/>
        <rFont val="宋体"/>
        <family val="3"/>
        <charset val="134"/>
      </rPr>
      <t>与基本保险金额</t>
    </r>
    <r>
      <rPr>
        <sz val="10"/>
        <color rgb="FF000000"/>
        <rFont val="Arial"/>
        <family val="2"/>
      </rPr>
      <t>(Face Amt)</t>
    </r>
    <r>
      <rPr>
        <sz val="10"/>
        <color rgb="FF000000"/>
        <rFont val="宋体"/>
        <family val="3"/>
        <charset val="134"/>
      </rPr>
      <t>之比</t>
    </r>
  </si>
  <si>
    <r>
      <t>保证年金</t>
    </r>
    <r>
      <rPr>
        <b/>
        <sz val="10"/>
        <color rgb="FF000000"/>
        <rFont val="Arial"/>
        <family val="2"/>
      </rPr>
      <t>(GUB)</t>
    </r>
    <r>
      <rPr>
        <b/>
        <sz val="10"/>
        <color rgb="FF000000"/>
        <rFont val="宋体"/>
        <family val="3"/>
        <charset val="134"/>
      </rPr>
      <t>与基本保险金额</t>
    </r>
    <r>
      <rPr>
        <b/>
        <sz val="10"/>
        <color rgb="FF000000"/>
        <rFont val="Arial"/>
        <family val="2"/>
      </rPr>
      <t>(Face Amt)</t>
    </r>
    <r>
      <rPr>
        <b/>
        <sz val="10"/>
        <color rgb="FF000000"/>
        <rFont val="宋体"/>
        <family val="3"/>
        <charset val="134"/>
      </rPr>
      <t>之比系数</t>
    </r>
  </si>
  <si>
    <t>注：橙色为可选项</t>
    <phoneticPr fontId="31" type="noConversion"/>
  </si>
  <si>
    <r>
      <t>Begin Age(</t>
    </r>
    <r>
      <rPr>
        <sz val="10"/>
        <color rgb="FF000000"/>
        <rFont val="Calibri"/>
        <family val="2"/>
      </rPr>
      <t>ɛ</t>
    </r>
    <r>
      <rPr>
        <sz val="10"/>
        <color rgb="FF000000"/>
        <rFont val="Arial"/>
        <family val="2"/>
      </rPr>
      <t>)</t>
    </r>
  </si>
  <si>
    <r>
      <t>End Age(</t>
    </r>
    <r>
      <rPr>
        <sz val="10"/>
        <color rgb="FF000000"/>
        <rFont val="Calibri"/>
        <family val="2"/>
      </rPr>
      <t>ρ</t>
    </r>
    <r>
      <rPr>
        <sz val="10"/>
        <color rgb="FF000000"/>
        <rFont val="Arial"/>
        <family val="2"/>
      </rPr>
      <t>)</t>
    </r>
  </si>
  <si>
    <t>20年交</t>
  </si>
  <si>
    <t>20M</t>
  </si>
  <si>
    <t>20F</t>
  </si>
  <si>
    <r>
      <t>X</t>
    </r>
    <r>
      <rPr>
        <vertAlign val="subscript"/>
        <sz val="9"/>
        <color rgb="FFFFFFFF"/>
        <rFont val="Arial"/>
        <family val="2"/>
      </rPr>
      <t>t+1</t>
    </r>
  </si>
  <si>
    <r>
      <rPr>
        <sz val="9"/>
        <color rgb="FFFFFFFF"/>
        <rFont val="宋体"/>
        <family val="3"/>
        <charset val="134"/>
      </rPr>
      <t>从</t>
    </r>
    <r>
      <rPr>
        <sz val="9"/>
        <color rgb="FFFFFFFF"/>
        <rFont val="Arial"/>
        <family val="2"/>
      </rPr>
      <t>t=</t>
    </r>
    <r>
      <rPr>
        <sz val="9"/>
        <color rgb="FFFFFFFF"/>
        <rFont val="宋体"/>
        <family val="3"/>
        <charset val="134"/>
      </rPr>
      <t>0到</t>
    </r>
    <r>
      <rPr>
        <sz val="9"/>
        <color rgb="FFFFFFFF"/>
        <rFont val="Arial"/>
        <family val="2"/>
      </rPr>
      <t>t=</t>
    </r>
    <r>
      <rPr>
        <sz val="9"/>
        <color rgb="FFFFFFFF"/>
        <rFont val="Calibri"/>
        <family val="2"/>
      </rPr>
      <t>ɛ</t>
    </r>
    <r>
      <rPr>
        <sz val="9"/>
        <color rgb="FFFFFFFF"/>
        <rFont val="Arial"/>
        <family val="2"/>
      </rPr>
      <t>-x</t>
    </r>
  </si>
  <si>
    <r>
      <t>年龄X</t>
    </r>
    <r>
      <rPr>
        <b/>
        <vertAlign val="subscript"/>
        <sz val="12"/>
        <color rgb="FFFFFFFF"/>
        <rFont val="宋体"/>
        <family val="3"/>
        <charset val="134"/>
      </rPr>
      <t>t+1</t>
    </r>
  </si>
  <si>
    <r>
      <t>现金价值</t>
    </r>
    <r>
      <rPr>
        <b/>
        <vertAlign val="subscript"/>
        <sz val="12"/>
        <color rgb="FFFFFFFF"/>
        <rFont val="宋体"/>
        <family val="3"/>
        <charset val="134"/>
      </rPr>
      <t>t+1</t>
    </r>
    <r>
      <rPr>
        <b/>
        <sz val="12"/>
        <color rgb="FFFFFFFF"/>
        <rFont val="宋体"/>
        <family val="3"/>
        <charset val="134"/>
      </rPr>
      <t>CSV</t>
    </r>
    <r>
      <rPr>
        <b/>
        <vertAlign val="subscript"/>
        <sz val="12"/>
        <color rgb="FFFFFFFF"/>
        <rFont val="宋体"/>
        <family val="3"/>
        <charset val="134"/>
      </rPr>
      <t>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</si>
</sst>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76" formatCode="0.00_ "/>
    <numFmt numFmtId="177" formatCode="0_ "/>
    <numFmt numFmtId="178" formatCode="0.000"/>
    <numFmt numFmtId="180" formatCode="0.0"/>
    <numFmt numFmtId="181" formatCode="0.0%"/>
    <numFmt numFmtId="182" formatCode="_ \¥* #,##0.00_ ;_ \¥* \-#,##0.00_ ;_ \¥* &quot;-&quot;??_ ;_ @_ "/>
  </numFmts>
  <fonts count="65" x14ac:knownFonts="1">
    <font>
      <sz val="12"/>
      <name val="宋体"/>
      <charset val="134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9"/>
      <color rgb="FF0066FF"/>
      <name val="Arial"/>
      <family val="2"/>
    </font>
    <font>
      <sz val="10"/>
      <name val="宋体"/>
      <family val="3"/>
      <charset val="134"/>
    </font>
    <font>
      <sz val="12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sz val="9"/>
      <color rgb="FF0066FF"/>
      <name val="Arial"/>
      <family val="2"/>
    </font>
    <font>
      <sz val="6"/>
      <color rgb="FF0066FF"/>
      <name val="Arial"/>
      <family val="2"/>
    </font>
    <font>
      <sz val="9"/>
      <color rgb="FF0066FF"/>
      <name val="宋体"/>
      <family val="3"/>
      <charset val="134"/>
    </font>
    <font>
      <b/>
      <sz val="12"/>
      <name val="宋体"/>
      <family val="3"/>
      <charset val="134"/>
    </font>
    <font>
      <b/>
      <sz val="9"/>
      <color rgb="FF0066FF"/>
      <name val="Arial"/>
      <family val="2"/>
    </font>
    <font>
      <b/>
      <sz val="6"/>
      <color rgb="FF0066FF"/>
      <name val="Arial"/>
      <family val="2"/>
    </font>
    <font>
      <sz val="14"/>
      <name val="Arial"/>
      <family val="2"/>
    </font>
    <font>
      <sz val="10"/>
      <color rgb="FFCCFFCC"/>
      <name val="Arial"/>
      <family val="2"/>
    </font>
    <font>
      <sz val="11"/>
      <name val="Arial"/>
      <family val="2"/>
    </font>
    <font>
      <sz val="12"/>
      <name val="宋体"/>
      <family val="3"/>
      <charset val="134"/>
    </font>
    <font>
      <sz val="10"/>
      <name val="MS Sans Serif"/>
      <family val="2"/>
    </font>
    <font>
      <sz val="11"/>
      <color theme="1"/>
      <name val="宋体"/>
      <family val="3"/>
      <charset val="134"/>
      <scheme val="minor"/>
    </font>
    <font>
      <sz val="10"/>
      <name val="Times New Roman"/>
      <family val="1"/>
    </font>
    <font>
      <sz val="10"/>
      <name val="Helv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9"/>
      <color rgb="FF0066FF"/>
      <name val="Calibri"/>
      <family val="2"/>
    </font>
    <font>
      <b/>
      <sz val="9"/>
      <color rgb="FF0066FF"/>
      <name val="宋体"/>
      <family val="3"/>
      <charset val="134"/>
    </font>
    <font>
      <b/>
      <sz val="9"/>
      <color rgb="FF0066FF"/>
      <name val="Calibri"/>
      <family val="2"/>
    </font>
    <font>
      <b/>
      <sz val="6"/>
      <name val="Arial"/>
      <family val="2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rgb="FF000000"/>
      <name val="Times New Roman"/>
      <family val="1"/>
    </font>
    <font>
      <b/>
      <sz val="10"/>
      <color rgb="FFFFFFFF"/>
      <name val="黑体"/>
      <family val="3"/>
      <charset val="134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宋体"/>
      <family val="3"/>
      <charset val="134"/>
    </font>
    <font>
      <sz val="12"/>
      <color rgb="FF000000"/>
      <name val="Arial"/>
      <family val="2"/>
    </font>
    <font>
      <b/>
      <sz val="10"/>
      <color rgb="FF000000"/>
      <name val="宋体"/>
      <family val="3"/>
      <charset val="134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FFFFFF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2"/>
      <color rgb="FFFFFFFF"/>
      <name val="宋体"/>
      <family val="3"/>
      <charset val="134"/>
    </font>
    <font>
      <sz val="8"/>
      <color rgb="FF000000"/>
      <name val="Arial"/>
      <family val="2"/>
    </font>
    <font>
      <b/>
      <sz val="14"/>
      <color rgb="FFFFFFFF"/>
      <name val="Arial"/>
      <family val="2"/>
    </font>
    <font>
      <sz val="10"/>
      <color rgb="FF000000"/>
      <name val="Calibri"/>
      <family val="2"/>
    </font>
    <font>
      <b/>
      <sz val="10"/>
      <color rgb="FF000000"/>
      <name val="Calibri Light"/>
      <family val="2"/>
    </font>
    <font>
      <b/>
      <sz val="12"/>
      <color rgb="FF000000"/>
      <name val="Calibri Light"/>
      <family val="2"/>
    </font>
    <font>
      <b/>
      <sz val="10"/>
      <color rgb="FFFFFFFF"/>
      <name val="Calibri"/>
      <family val="2"/>
    </font>
    <font>
      <b/>
      <sz val="12"/>
      <color rgb="FFFFFFFF"/>
      <name val="Calibri"/>
      <family val="2"/>
    </font>
    <font>
      <b/>
      <sz val="12"/>
      <color rgb="FFFFFFFF"/>
      <name val="Arial"/>
      <family val="2"/>
    </font>
    <font>
      <b/>
      <sz val="12"/>
      <color rgb="FFFF0000"/>
      <name val="宋体"/>
      <family val="3"/>
      <charset val="134"/>
    </font>
    <font>
      <b/>
      <sz val="16"/>
      <color rgb="FF000000"/>
      <name val="宋体"/>
      <family val="3"/>
      <charset val="134"/>
    </font>
    <font>
      <b/>
      <sz val="16"/>
      <color rgb="FFFFFFFF"/>
      <name val="宋体"/>
      <family val="3"/>
      <charset val="134"/>
    </font>
    <font>
      <b/>
      <sz val="10"/>
      <color rgb="FFFFFFFF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1"/>
      <color rgb="FFFFFFFF"/>
      <name val="宋体"/>
      <family val="3"/>
      <charset val="134"/>
    </font>
    <font>
      <sz val="9"/>
      <color rgb="FFFFFFFF"/>
      <name val="Arial"/>
      <family val="2"/>
    </font>
    <font>
      <vertAlign val="subscript"/>
      <sz val="9"/>
      <color rgb="FFFFFFFF"/>
      <name val="Arial"/>
      <family val="2"/>
    </font>
    <font>
      <sz val="9"/>
      <color rgb="FFFFFFFF"/>
      <name val="宋体"/>
      <family val="3"/>
      <charset val="134"/>
    </font>
    <font>
      <sz val="9"/>
      <color rgb="FFFFFFFF"/>
      <name val="Calibri"/>
      <family val="2"/>
    </font>
    <font>
      <b/>
      <vertAlign val="subscript"/>
      <sz val="12"/>
      <color rgb="FFFFFFFF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D8C0"/>
        <bgColor indexed="64"/>
      </patternFill>
    </fill>
    <fill>
      <patternFill patternType="solid">
        <fgColor rgb="FF76453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6453B"/>
        <bgColor indexed="24"/>
      </patternFill>
    </fill>
    <fill>
      <patternFill patternType="solid">
        <fgColor theme="2"/>
        <bgColor indexed="24"/>
      </patternFill>
    </fill>
    <fill>
      <patternFill patternType="solid">
        <fgColor theme="2" tint="-0.249977111117893"/>
        <bgColor indexed="64"/>
      </patternFill>
    </fill>
  </fills>
  <borders count="8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dashed">
        <color rgb="FF76453B"/>
      </left>
      <right style="dashed">
        <color rgb="FF76453B"/>
      </right>
      <top/>
      <bottom/>
      <diagonal/>
    </border>
    <border>
      <left style="medium">
        <color rgb="FF76453B"/>
      </left>
      <right style="dashed">
        <color rgb="FF76453B"/>
      </right>
      <top style="medium">
        <color rgb="FF76453B"/>
      </top>
      <bottom style="mediumDashed">
        <color rgb="FF76453B"/>
      </bottom>
      <diagonal/>
    </border>
    <border>
      <left style="dashed">
        <color rgb="FF76453B"/>
      </left>
      <right style="dashed">
        <color rgb="FF76453B"/>
      </right>
      <top style="medium">
        <color rgb="FF76453B"/>
      </top>
      <bottom style="mediumDashed">
        <color rgb="FF76453B"/>
      </bottom>
      <diagonal/>
    </border>
    <border>
      <left style="dashed">
        <color rgb="FF76453B"/>
      </left>
      <right style="medium">
        <color rgb="FF76453B"/>
      </right>
      <top style="medium">
        <color rgb="FF76453B"/>
      </top>
      <bottom style="mediumDashed">
        <color rgb="FF76453B"/>
      </bottom>
      <diagonal/>
    </border>
    <border>
      <left style="medium">
        <color rgb="FF76453B"/>
      </left>
      <right style="dashed">
        <color rgb="FF76453B"/>
      </right>
      <top style="mediumDashed">
        <color rgb="FF76453B"/>
      </top>
      <bottom style="mediumDashed">
        <color rgb="FF76453B"/>
      </bottom>
      <diagonal/>
    </border>
    <border>
      <left style="dashed">
        <color rgb="FF76453B"/>
      </left>
      <right style="dashed">
        <color rgb="FF76453B"/>
      </right>
      <top style="mediumDashed">
        <color rgb="FF76453B"/>
      </top>
      <bottom style="mediumDashed">
        <color rgb="FF76453B"/>
      </bottom>
      <diagonal/>
    </border>
    <border>
      <left style="dashed">
        <color rgb="FF76453B"/>
      </left>
      <right style="medium">
        <color rgb="FF76453B"/>
      </right>
      <top style="mediumDashed">
        <color rgb="FF76453B"/>
      </top>
      <bottom style="mediumDashed">
        <color rgb="FF76453B"/>
      </bottom>
      <diagonal/>
    </border>
    <border>
      <left style="medium">
        <color rgb="FF76453B"/>
      </left>
      <right style="dashed">
        <color rgb="FF76453B"/>
      </right>
      <top style="mediumDashed">
        <color rgb="FF76453B"/>
      </top>
      <bottom style="medium">
        <color rgb="FF76453B"/>
      </bottom>
      <diagonal/>
    </border>
    <border>
      <left style="dashed">
        <color rgb="FF76453B"/>
      </left>
      <right style="dashed">
        <color rgb="FF76453B"/>
      </right>
      <top style="mediumDashed">
        <color rgb="FF76453B"/>
      </top>
      <bottom style="medium">
        <color rgb="FF76453B"/>
      </bottom>
      <diagonal/>
    </border>
    <border>
      <left style="dashed">
        <color rgb="FF76453B"/>
      </left>
      <right style="medium">
        <color rgb="FF76453B"/>
      </right>
      <top style="mediumDashed">
        <color rgb="FF76453B"/>
      </top>
      <bottom style="medium">
        <color rgb="FF76453B"/>
      </bottom>
      <diagonal/>
    </border>
    <border>
      <left style="medium">
        <color rgb="FF76453B"/>
      </left>
      <right style="dashed">
        <color rgb="FF76453B"/>
      </right>
      <top style="mediumDashed">
        <color rgb="FF76453B"/>
      </top>
      <bottom/>
      <diagonal/>
    </border>
    <border>
      <left style="dashed">
        <color rgb="FF76453B"/>
      </left>
      <right style="dashed">
        <color rgb="FF76453B"/>
      </right>
      <top style="mediumDashed">
        <color rgb="FF76453B"/>
      </top>
      <bottom/>
      <diagonal/>
    </border>
    <border>
      <left style="dashed">
        <color rgb="FF76453B"/>
      </left>
      <right style="medium">
        <color rgb="FF76453B"/>
      </right>
      <top style="mediumDashed">
        <color rgb="FF76453B"/>
      </top>
      <bottom/>
      <diagonal/>
    </border>
    <border>
      <left style="medium">
        <color rgb="FF76453B"/>
      </left>
      <right style="dashed">
        <color rgb="FF76453B"/>
      </right>
      <top style="medium">
        <color rgb="FF76453B"/>
      </top>
      <bottom style="medium">
        <color rgb="FF76453B"/>
      </bottom>
      <diagonal/>
    </border>
    <border>
      <left style="dashed">
        <color rgb="FF76453B"/>
      </left>
      <right style="dashed">
        <color rgb="FF76453B"/>
      </right>
      <top style="medium">
        <color rgb="FF76453B"/>
      </top>
      <bottom style="medium">
        <color rgb="FF76453B"/>
      </bottom>
      <diagonal/>
    </border>
    <border>
      <left style="dashed">
        <color rgb="FF76453B"/>
      </left>
      <right style="medium">
        <color rgb="FF76453B"/>
      </right>
      <top style="medium">
        <color rgb="FF76453B"/>
      </top>
      <bottom style="medium">
        <color rgb="FF76453B"/>
      </bottom>
      <diagonal/>
    </border>
    <border>
      <left style="medium">
        <color rgb="FF76453B"/>
      </left>
      <right style="dashed">
        <color rgb="FF76453B"/>
      </right>
      <top/>
      <bottom style="mediumDashed">
        <color rgb="FF76453B"/>
      </bottom>
      <diagonal/>
    </border>
    <border>
      <left style="dashed">
        <color rgb="FF76453B"/>
      </left>
      <right style="dashed">
        <color rgb="FF76453B"/>
      </right>
      <top/>
      <bottom style="mediumDashed">
        <color rgb="FF76453B"/>
      </bottom>
      <diagonal/>
    </border>
    <border>
      <left style="dashed">
        <color rgb="FF76453B"/>
      </left>
      <right style="medium">
        <color rgb="FF76453B"/>
      </right>
      <top/>
      <bottom style="mediumDashed">
        <color rgb="FF76453B"/>
      </bottom>
      <diagonal/>
    </border>
    <border>
      <left style="thin">
        <color rgb="FF76453B"/>
      </left>
      <right style="thin">
        <color rgb="FF76453B"/>
      </right>
      <top style="thin">
        <color rgb="FF76453B"/>
      </top>
      <bottom style="thin">
        <color rgb="FF76453B"/>
      </bottom>
      <diagonal/>
    </border>
    <border>
      <left style="thin">
        <color rgb="FF76453B"/>
      </left>
      <right style="dashed">
        <color rgb="FF76453B"/>
      </right>
      <top style="thin">
        <color rgb="FF76453B"/>
      </top>
      <bottom style="thin">
        <color rgb="FF76453B"/>
      </bottom>
      <diagonal/>
    </border>
    <border>
      <left style="dashed">
        <color rgb="FF76453B"/>
      </left>
      <right style="dashed">
        <color rgb="FF76453B"/>
      </right>
      <top style="thin">
        <color rgb="FF76453B"/>
      </top>
      <bottom style="thin">
        <color rgb="FF76453B"/>
      </bottom>
      <diagonal/>
    </border>
    <border>
      <left style="dashed">
        <color rgb="FF76453B"/>
      </left>
      <right style="thin">
        <color rgb="FF76453B"/>
      </right>
      <top style="thin">
        <color rgb="FF76453B"/>
      </top>
      <bottom style="thin">
        <color rgb="FF76453B"/>
      </bottom>
      <diagonal/>
    </border>
    <border>
      <left style="medium">
        <color rgb="FF76453B"/>
      </left>
      <right style="dashed">
        <color rgb="FF76453B"/>
      </right>
      <top style="thin">
        <color rgb="FF76453B"/>
      </top>
      <bottom style="dashed">
        <color rgb="FF76453B"/>
      </bottom>
      <diagonal/>
    </border>
    <border>
      <left style="dashed">
        <color rgb="FF76453B"/>
      </left>
      <right style="dashed">
        <color rgb="FF76453B"/>
      </right>
      <top style="thin">
        <color rgb="FF76453B"/>
      </top>
      <bottom style="dashed">
        <color rgb="FF76453B"/>
      </bottom>
      <diagonal/>
    </border>
    <border>
      <left style="dashed">
        <color rgb="FF76453B"/>
      </left>
      <right style="medium">
        <color rgb="FF76453B"/>
      </right>
      <top style="thin">
        <color rgb="FF76453B"/>
      </top>
      <bottom style="dashed">
        <color rgb="FF76453B"/>
      </bottom>
      <diagonal/>
    </border>
    <border>
      <left style="medium">
        <color rgb="FF76453B"/>
      </left>
      <right style="dashed">
        <color rgb="FF76453B"/>
      </right>
      <top style="dashed">
        <color rgb="FF76453B"/>
      </top>
      <bottom style="dashed">
        <color rgb="FF76453B"/>
      </bottom>
      <diagonal/>
    </border>
    <border>
      <left style="dashed">
        <color rgb="FF76453B"/>
      </left>
      <right style="dashed">
        <color rgb="FF76453B"/>
      </right>
      <top style="dashed">
        <color rgb="FF76453B"/>
      </top>
      <bottom style="dashed">
        <color rgb="FF76453B"/>
      </bottom>
      <diagonal/>
    </border>
    <border>
      <left style="dashed">
        <color rgb="FF76453B"/>
      </left>
      <right style="medium">
        <color rgb="FF76453B"/>
      </right>
      <top style="dashed">
        <color rgb="FF76453B"/>
      </top>
      <bottom style="dashed">
        <color rgb="FF76453B"/>
      </bottom>
      <diagonal/>
    </border>
    <border>
      <left style="medium">
        <color rgb="FF76453B"/>
      </left>
      <right style="dashed">
        <color rgb="FF76453B"/>
      </right>
      <top style="dashed">
        <color rgb="FF76453B"/>
      </top>
      <bottom style="medium">
        <color rgb="FF76453B"/>
      </bottom>
      <diagonal/>
    </border>
    <border>
      <left style="dashed">
        <color rgb="FF76453B"/>
      </left>
      <right style="dashed">
        <color rgb="FF76453B"/>
      </right>
      <top style="dashed">
        <color rgb="FF76453B"/>
      </top>
      <bottom style="medium">
        <color rgb="FF76453B"/>
      </bottom>
      <diagonal/>
    </border>
    <border>
      <left style="dashed">
        <color rgb="FF76453B"/>
      </left>
      <right style="medium">
        <color rgb="FF76453B"/>
      </right>
      <top style="dashed">
        <color rgb="FF76453B"/>
      </top>
      <bottom style="medium">
        <color rgb="FF76453B"/>
      </bottom>
      <diagonal/>
    </border>
    <border>
      <left style="medium">
        <color rgb="FF76453B"/>
      </left>
      <right style="dashed">
        <color rgb="FF76453B"/>
      </right>
      <top/>
      <bottom style="dashed">
        <color rgb="FF76453B"/>
      </bottom>
      <diagonal/>
    </border>
    <border>
      <left style="dashed">
        <color rgb="FF76453B"/>
      </left>
      <right style="dashed">
        <color rgb="FF76453B"/>
      </right>
      <top/>
      <bottom style="dashed">
        <color rgb="FF76453B"/>
      </bottom>
      <diagonal/>
    </border>
    <border>
      <left style="dashed">
        <color rgb="FF76453B"/>
      </left>
      <right style="medium">
        <color rgb="FF76453B"/>
      </right>
      <top/>
      <bottom style="dashed">
        <color rgb="FF76453B"/>
      </bottom>
      <diagonal/>
    </border>
    <border>
      <left style="medium">
        <color rgb="FF76453B"/>
      </left>
      <right style="dashed">
        <color rgb="FF76453B"/>
      </right>
      <top style="dashed">
        <color rgb="FF76453B"/>
      </top>
      <bottom style="thin">
        <color rgb="FF76453B"/>
      </bottom>
      <diagonal/>
    </border>
    <border>
      <left style="dashed">
        <color rgb="FF76453B"/>
      </left>
      <right style="dashed">
        <color rgb="FF76453B"/>
      </right>
      <top style="dashed">
        <color rgb="FF76453B"/>
      </top>
      <bottom style="thin">
        <color rgb="FF76453B"/>
      </bottom>
      <diagonal/>
    </border>
    <border>
      <left style="dashed">
        <color rgb="FF76453B"/>
      </left>
      <right style="medium">
        <color rgb="FF76453B"/>
      </right>
      <top style="dashed">
        <color rgb="FF76453B"/>
      </top>
      <bottom style="thin">
        <color rgb="FF76453B"/>
      </bottom>
      <diagonal/>
    </border>
    <border>
      <left style="medium">
        <color rgb="FF76453B"/>
      </left>
      <right style="dashed">
        <color rgb="FF76453B"/>
      </right>
      <top style="medium">
        <color rgb="FF76453B"/>
      </top>
      <bottom style="dashed">
        <color rgb="FF76453B"/>
      </bottom>
      <diagonal/>
    </border>
    <border>
      <left style="dashed">
        <color rgb="FF76453B"/>
      </left>
      <right style="dashed">
        <color rgb="FF76453B"/>
      </right>
      <top style="medium">
        <color rgb="FF76453B"/>
      </top>
      <bottom style="dashed">
        <color rgb="FF76453B"/>
      </bottom>
      <diagonal/>
    </border>
    <border>
      <left style="dashed">
        <color rgb="FF76453B"/>
      </left>
      <right style="medium">
        <color rgb="FF76453B"/>
      </right>
      <top style="medium">
        <color rgb="FF76453B"/>
      </top>
      <bottom style="dashed">
        <color rgb="FF76453B"/>
      </bottom>
      <diagonal/>
    </border>
    <border>
      <left style="thin">
        <color rgb="FF76453B"/>
      </left>
      <right style="dashed">
        <color rgb="FF76453B"/>
      </right>
      <top/>
      <bottom/>
      <diagonal/>
    </border>
    <border>
      <left style="thin">
        <color rgb="FF76453B"/>
      </left>
      <right style="dashed">
        <color rgb="FF76453B"/>
      </right>
      <top style="thin">
        <color rgb="FF76453B"/>
      </top>
      <bottom style="dashed">
        <color rgb="FF76453B"/>
      </bottom>
      <diagonal/>
    </border>
    <border>
      <left style="thin">
        <color rgb="FF76453B"/>
      </left>
      <right style="dashed">
        <color rgb="FF76453B"/>
      </right>
      <top style="dashed">
        <color rgb="FF76453B"/>
      </top>
      <bottom style="dashed">
        <color rgb="FF76453B"/>
      </bottom>
      <diagonal/>
    </border>
    <border>
      <left style="thin">
        <color rgb="FF76453B"/>
      </left>
      <right style="dashed">
        <color rgb="FF76453B"/>
      </right>
      <top style="dashed">
        <color rgb="FF76453B"/>
      </top>
      <bottom/>
      <diagonal/>
    </border>
    <border>
      <left style="dashed">
        <color rgb="FF76453B"/>
      </left>
      <right style="dashed">
        <color rgb="FF76453B"/>
      </right>
      <top style="dashed">
        <color rgb="FF76453B"/>
      </top>
      <bottom/>
      <diagonal/>
    </border>
    <border>
      <left style="dashed">
        <color rgb="FF76453B"/>
      </left>
      <right style="medium">
        <color rgb="FF76453B"/>
      </right>
      <top style="dashed">
        <color rgb="FF76453B"/>
      </top>
      <bottom/>
      <diagonal/>
    </border>
    <border>
      <left style="thin">
        <color rgb="FF76453B"/>
      </left>
      <right style="dashed">
        <color rgb="FF76453B"/>
      </right>
      <top style="thin">
        <color rgb="FF76453B"/>
      </top>
      <bottom style="medium">
        <color rgb="FF76453B"/>
      </bottom>
      <diagonal/>
    </border>
    <border>
      <left style="dashed">
        <color rgb="FF76453B"/>
      </left>
      <right style="dashed">
        <color rgb="FF76453B"/>
      </right>
      <top style="thin">
        <color rgb="FF76453B"/>
      </top>
      <bottom style="medium">
        <color rgb="FF76453B"/>
      </bottom>
      <diagonal/>
    </border>
    <border>
      <left style="dashed">
        <color rgb="FF76453B"/>
      </left>
      <right style="medium">
        <color rgb="FF76453B"/>
      </right>
      <top style="thin">
        <color rgb="FF76453B"/>
      </top>
      <bottom style="medium">
        <color rgb="FF76453B"/>
      </bottom>
      <diagonal/>
    </border>
    <border>
      <left style="thin">
        <color rgb="FF76453B"/>
      </left>
      <right style="dashed">
        <color rgb="FF76453B"/>
      </right>
      <top/>
      <bottom style="dashed">
        <color rgb="FF76453B"/>
      </bottom>
      <diagonal/>
    </border>
    <border>
      <left style="dashed">
        <color rgb="FF76453B"/>
      </left>
      <right style="medium">
        <color rgb="FF76453B"/>
      </right>
      <top style="thin">
        <color rgb="FF76453B"/>
      </top>
      <bottom style="thin">
        <color rgb="FF76453B"/>
      </bottom>
      <diagonal/>
    </border>
    <border>
      <left style="dashed">
        <color rgb="FF76453B"/>
      </left>
      <right style="dashed">
        <color rgb="FF76453B"/>
      </right>
      <top/>
      <bottom style="thin">
        <color rgb="FF76453B"/>
      </bottom>
      <diagonal/>
    </border>
    <border>
      <left style="dashed">
        <color rgb="FF76453B"/>
      </left>
      <right style="thin">
        <color rgb="FF76453B"/>
      </right>
      <top/>
      <bottom style="thin">
        <color rgb="FF76453B"/>
      </bottom>
      <diagonal/>
    </border>
    <border>
      <left style="dashed">
        <color rgb="FF76453B"/>
      </left>
      <right style="thin">
        <color rgb="FF76453B"/>
      </right>
      <top style="thin">
        <color rgb="FF76453B"/>
      </top>
      <bottom style="dashed">
        <color rgb="FF76453B"/>
      </bottom>
      <diagonal/>
    </border>
    <border>
      <left style="thin">
        <color rgb="FF76453B"/>
      </left>
      <right style="dashed">
        <color rgb="FF76453B"/>
      </right>
      <top style="dashed">
        <color rgb="FF76453B"/>
      </top>
      <bottom style="thin">
        <color rgb="FF76453B"/>
      </bottom>
      <diagonal/>
    </border>
    <border>
      <left style="dashed">
        <color rgb="FF76453B"/>
      </left>
      <right style="thin">
        <color rgb="FF76453B"/>
      </right>
      <top style="dashed">
        <color rgb="FF76453B"/>
      </top>
      <bottom style="thin">
        <color rgb="FF76453B"/>
      </bottom>
      <diagonal/>
    </border>
    <border>
      <left style="dashed">
        <color rgb="FF76453B"/>
      </left>
      <right style="thin">
        <color rgb="FF76453B"/>
      </right>
      <top style="dashed">
        <color rgb="FF76453B"/>
      </top>
      <bottom style="dashed">
        <color rgb="FF76453B"/>
      </bottom>
      <diagonal/>
    </border>
    <border>
      <left style="dashed">
        <color rgb="FF76453B"/>
      </left>
      <right style="thin">
        <color rgb="FF76453B"/>
      </right>
      <top/>
      <bottom style="dashed">
        <color rgb="FF76453B"/>
      </bottom>
      <diagonal/>
    </border>
    <border>
      <left style="dashed">
        <color rgb="FF76453B"/>
      </left>
      <right/>
      <top style="dashed">
        <color rgb="FF76453B"/>
      </top>
      <bottom style="thin">
        <color rgb="FF76453B"/>
      </bottom>
      <diagonal/>
    </border>
    <border>
      <left style="dashed">
        <color rgb="FF76453B"/>
      </left>
      <right/>
      <top/>
      <bottom style="dashed">
        <color rgb="FF76453B"/>
      </bottom>
      <diagonal/>
    </border>
    <border>
      <left style="dashed">
        <color rgb="FF76453B"/>
      </left>
      <right/>
      <top style="dashed">
        <color rgb="FF76453B"/>
      </top>
      <bottom style="dashed">
        <color rgb="FF76453B"/>
      </bottom>
      <diagonal/>
    </border>
  </borders>
  <cellStyleXfs count="19">
    <xf numFmtId="0" fontId="0" fillId="0" borderId="0"/>
    <xf numFmtId="0" fontId="19" fillId="0" borderId="0"/>
    <xf numFmtId="0" fontId="20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1" fillId="0" borderId="0" applyFont="0" applyFill="0" applyBorder="0" applyAlignment="0" applyProtection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1" fillId="0" borderId="0">
      <alignment vertical="center"/>
    </xf>
    <xf numFmtId="0" fontId="22" fillId="0" borderId="0"/>
    <xf numFmtId="0" fontId="19" fillId="0" borderId="0">
      <alignment vertical="center"/>
    </xf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3" fillId="0" borderId="0"/>
  </cellStyleXfs>
  <cellXfs count="274">
    <xf numFmtId="0" fontId="0" fillId="0" borderId="0" xfId="0"/>
    <xf numFmtId="0" fontId="5" fillId="3" borderId="0" xfId="0" applyFont="1" applyFill="1"/>
    <xf numFmtId="0" fontId="0" fillId="3" borderId="0" xfId="0" applyFill="1"/>
    <xf numFmtId="0" fontId="5" fillId="3" borderId="0" xfId="0" applyFont="1" applyFill="1" applyAlignment="1">
      <alignment horizontal="center" vertical="center"/>
    </xf>
    <xf numFmtId="0" fontId="33" fillId="4" borderId="24" xfId="15" applyFont="1" applyFill="1" applyBorder="1" applyAlignment="1">
      <alignment horizontal="left" vertical="top" wrapText="1"/>
    </xf>
    <xf numFmtId="0" fontId="33" fillId="4" borderId="25" xfId="15" applyFont="1" applyFill="1" applyBorder="1" applyAlignment="1">
      <alignment horizontal="left" vertical="top" wrapText="1"/>
    </xf>
    <xf numFmtId="0" fontId="33" fillId="4" borderId="26" xfId="15" applyFont="1" applyFill="1" applyBorder="1" applyAlignment="1">
      <alignment horizontal="left" vertical="top" wrapText="1"/>
    </xf>
    <xf numFmtId="0" fontId="33" fillId="4" borderId="30" xfId="15" applyFont="1" applyFill="1" applyBorder="1" applyAlignment="1">
      <alignment horizontal="left" vertical="top" wrapText="1"/>
    </xf>
    <xf numFmtId="0" fontId="33" fillId="4" borderId="31" xfId="15" applyFont="1" applyFill="1" applyBorder="1" applyAlignment="1">
      <alignment horizontal="left" vertical="top" wrapText="1"/>
    </xf>
    <xf numFmtId="0" fontId="33" fillId="4" borderId="32" xfId="15" applyFont="1" applyFill="1" applyBorder="1" applyAlignment="1">
      <alignment horizontal="left" vertical="top" wrapText="1"/>
    </xf>
    <xf numFmtId="0" fontId="33" fillId="5" borderId="33" xfId="15" applyFont="1" applyFill="1" applyBorder="1" applyAlignment="1">
      <alignment horizontal="left" vertical="top" wrapText="1"/>
    </xf>
    <xf numFmtId="0" fontId="33" fillId="5" borderId="34" xfId="15" applyFont="1" applyFill="1" applyBorder="1" applyAlignment="1">
      <alignment horizontal="left" vertical="top" wrapText="1"/>
    </xf>
    <xf numFmtId="0" fontId="33" fillId="5" borderId="35" xfId="15" applyFont="1" applyFill="1" applyBorder="1" applyAlignment="1">
      <alignment horizontal="left" vertical="top" wrapText="1"/>
    </xf>
    <xf numFmtId="0" fontId="33" fillId="4" borderId="36" xfId="15" applyFont="1" applyFill="1" applyBorder="1" applyAlignment="1">
      <alignment horizontal="left" vertical="top" wrapText="1"/>
    </xf>
    <xf numFmtId="0" fontId="33" fillId="4" borderId="37" xfId="15" applyFont="1" applyFill="1" applyBorder="1" applyAlignment="1">
      <alignment horizontal="left" vertical="top" wrapText="1"/>
    </xf>
    <xf numFmtId="0" fontId="33" fillId="4" borderId="38" xfId="15" applyFont="1" applyFill="1" applyBorder="1" applyAlignment="1">
      <alignment horizontal="left" vertical="top" wrapText="1"/>
    </xf>
    <xf numFmtId="0" fontId="34" fillId="6" borderId="33" xfId="0" applyFont="1" applyFill="1" applyBorder="1" applyAlignment="1">
      <alignment horizontal="left"/>
    </xf>
    <xf numFmtId="0" fontId="34" fillId="6" borderId="34" xfId="0" applyFont="1" applyFill="1" applyBorder="1" applyAlignment="1">
      <alignment horizontal="left"/>
    </xf>
    <xf numFmtId="0" fontId="34" fillId="6" borderId="35" xfId="0" applyFont="1" applyFill="1" applyBorder="1" applyAlignment="1">
      <alignment horizontal="left"/>
    </xf>
    <xf numFmtId="0" fontId="36" fillId="4" borderId="24" xfId="0" applyFont="1" applyFill="1" applyBorder="1" applyAlignment="1">
      <alignment vertical="center"/>
    </xf>
    <xf numFmtId="0" fontId="37" fillId="4" borderId="25" xfId="0" applyFont="1" applyFill="1" applyBorder="1" applyAlignment="1">
      <alignment horizontal="center" vertical="center"/>
    </xf>
    <xf numFmtId="0" fontId="36" fillId="4" borderId="26" xfId="0" applyFont="1" applyFill="1" applyBorder="1" applyAlignment="1">
      <alignment horizontal="center" vertical="center"/>
    </xf>
    <xf numFmtId="1" fontId="36" fillId="4" borderId="26" xfId="0" applyNumberFormat="1" applyFont="1" applyFill="1" applyBorder="1" applyAlignment="1">
      <alignment horizontal="center" vertical="center"/>
    </xf>
    <xf numFmtId="0" fontId="36" fillId="4" borderId="24" xfId="0" applyFont="1" applyFill="1" applyBorder="1"/>
    <xf numFmtId="0" fontId="37" fillId="4" borderId="25" xfId="0" applyFont="1" applyFill="1" applyBorder="1" applyAlignment="1">
      <alignment horizontal="center"/>
    </xf>
    <xf numFmtId="0" fontId="38" fillId="4" borderId="24" xfId="0" applyFont="1" applyFill="1" applyBorder="1"/>
    <xf numFmtId="0" fontId="38" fillId="4" borderId="25" xfId="0" applyFont="1" applyFill="1" applyBorder="1" applyAlignment="1">
      <alignment horizontal="center"/>
    </xf>
    <xf numFmtId="0" fontId="38" fillId="4" borderId="26" xfId="0" applyFont="1" applyFill="1" applyBorder="1"/>
    <xf numFmtId="10" fontId="36" fillId="4" borderId="26" xfId="0" applyNumberFormat="1" applyFont="1" applyFill="1" applyBorder="1" applyAlignment="1">
      <alignment horizontal="center" vertical="center"/>
    </xf>
    <xf numFmtId="0" fontId="36" fillId="4" borderId="25" xfId="0" applyFont="1" applyFill="1" applyBorder="1" applyAlignment="1">
      <alignment horizontal="center" vertical="center"/>
    </xf>
    <xf numFmtId="0" fontId="37" fillId="4" borderId="25" xfId="0" applyFont="1" applyFill="1" applyBorder="1" applyAlignment="1">
      <alignment horizontal="center" vertical="center" wrapText="1"/>
    </xf>
    <xf numFmtId="9" fontId="36" fillId="4" borderId="26" xfId="0" applyNumberFormat="1" applyFont="1" applyFill="1" applyBorder="1" applyAlignment="1">
      <alignment horizontal="center" vertical="center"/>
    </xf>
    <xf numFmtId="0" fontId="36" fillId="4" borderId="24" xfId="0" applyFont="1" applyFill="1" applyBorder="1" applyAlignment="1">
      <alignment horizontal="left" vertical="center"/>
    </xf>
    <xf numFmtId="0" fontId="35" fillId="4" borderId="24" xfId="0" applyFont="1" applyFill="1" applyBorder="1" applyAlignment="1">
      <alignment horizontal="left" vertical="center"/>
    </xf>
    <xf numFmtId="0" fontId="39" fillId="4" borderId="25" xfId="0" applyFont="1" applyFill="1" applyBorder="1" applyAlignment="1">
      <alignment horizontal="center" vertical="center"/>
    </xf>
    <xf numFmtId="0" fontId="36" fillId="4" borderId="27" xfId="0" applyFont="1" applyFill="1" applyBorder="1" applyAlignment="1">
      <alignment vertical="center"/>
    </xf>
    <xf numFmtId="0" fontId="37" fillId="4" borderId="28" xfId="0" applyFont="1" applyFill="1" applyBorder="1" applyAlignment="1">
      <alignment horizontal="center" vertical="center"/>
    </xf>
    <xf numFmtId="0" fontId="36" fillId="4" borderId="36" xfId="0" applyFont="1" applyFill="1" applyBorder="1" applyAlignment="1">
      <alignment vertical="center"/>
    </xf>
    <xf numFmtId="0" fontId="37" fillId="4" borderId="37" xfId="0" applyFont="1" applyFill="1" applyBorder="1" applyAlignment="1">
      <alignment horizontal="center" vertical="center"/>
    </xf>
    <xf numFmtId="1" fontId="36" fillId="4" borderId="38" xfId="0" applyNumberFormat="1" applyFont="1" applyFill="1" applyBorder="1" applyAlignment="1">
      <alignment horizontal="center" vertical="center"/>
    </xf>
    <xf numFmtId="0" fontId="40" fillId="6" borderId="21" xfId="15" applyFont="1" applyFill="1" applyBorder="1" applyAlignment="1">
      <alignment horizontal="left" vertical="center"/>
    </xf>
    <xf numFmtId="0" fontId="40" fillId="6" borderId="22" xfId="15" applyFont="1" applyFill="1" applyBorder="1" applyAlignment="1">
      <alignment horizontal="left" vertical="center"/>
    </xf>
    <xf numFmtId="0" fontId="40" fillId="6" borderId="23" xfId="15" applyFont="1" applyFill="1" applyBorder="1" applyAlignment="1">
      <alignment horizontal="left" vertical="center"/>
    </xf>
    <xf numFmtId="0" fontId="36" fillId="4" borderId="24" xfId="0" applyFont="1" applyFill="1" applyBorder="1" applyAlignment="1">
      <alignment horizontal="center"/>
    </xf>
    <xf numFmtId="0" fontId="36" fillId="7" borderId="24" xfId="0" applyFont="1" applyFill="1" applyBorder="1" applyAlignment="1">
      <alignment horizontal="center"/>
    </xf>
    <xf numFmtId="0" fontId="36" fillId="7" borderId="26" xfId="0" applyFont="1" applyFill="1" applyBorder="1" applyAlignment="1">
      <alignment horizontal="center" vertical="center"/>
    </xf>
    <xf numFmtId="182" fontId="7" fillId="4" borderId="29" xfId="0" applyNumberFormat="1" applyFont="1" applyFill="1" applyBorder="1" applyAlignment="1">
      <alignment horizontal="center" vertical="center"/>
    </xf>
    <xf numFmtId="0" fontId="44" fillId="6" borderId="39" xfId="0" applyFont="1" applyFill="1" applyBorder="1"/>
    <xf numFmtId="1" fontId="36" fillId="4" borderId="26" xfId="3" applyNumberFormat="1" applyFont="1" applyFill="1" applyBorder="1" applyAlignment="1">
      <alignment horizontal="center" vertical="center"/>
    </xf>
    <xf numFmtId="0" fontId="45" fillId="4" borderId="24" xfId="0" applyFont="1" applyFill="1" applyBorder="1"/>
    <xf numFmtId="0" fontId="38" fillId="4" borderId="30" xfId="0" applyFont="1" applyFill="1" applyBorder="1"/>
    <xf numFmtId="0" fontId="38" fillId="4" borderId="32" xfId="0" applyFont="1" applyFill="1" applyBorder="1"/>
    <xf numFmtId="0" fontId="38" fillId="4" borderId="38" xfId="0" applyFont="1" applyFill="1" applyBorder="1"/>
    <xf numFmtId="0" fontId="40" fillId="6" borderId="33" xfId="15" applyFont="1" applyFill="1" applyBorder="1" applyAlignment="1">
      <alignment horizontal="left" vertical="center"/>
    </xf>
    <xf numFmtId="0" fontId="40" fillId="6" borderId="35" xfId="15" applyFont="1" applyFill="1" applyBorder="1" applyAlignment="1">
      <alignment horizontal="left" vertical="center"/>
    </xf>
    <xf numFmtId="0" fontId="38" fillId="2" borderId="33" xfId="0" applyFont="1" applyFill="1" applyBorder="1"/>
    <xf numFmtId="0" fontId="38" fillId="2" borderId="35" xfId="0" applyFont="1" applyFill="1" applyBorder="1"/>
    <xf numFmtId="0" fontId="16" fillId="3" borderId="0" xfId="14" applyFont="1" applyFill="1"/>
    <xf numFmtId="0" fontId="6" fillId="3" borderId="0" xfId="14" applyFont="1" applyFill="1"/>
    <xf numFmtId="0" fontId="6" fillId="3" borderId="0" xfId="14" applyFont="1" applyFill="1" applyAlignment="1">
      <alignment horizontal="center"/>
    </xf>
    <xf numFmtId="0" fontId="6" fillId="3" borderId="1" xfId="14" applyFont="1" applyFill="1" applyBorder="1" applyAlignment="1">
      <alignment horizontal="center"/>
    </xf>
    <xf numFmtId="0" fontId="6" fillId="3" borderId="2" xfId="14" applyFont="1" applyFill="1" applyBorder="1" applyAlignment="1">
      <alignment horizontal="center"/>
    </xf>
    <xf numFmtId="0" fontId="4" fillId="3" borderId="2" xfId="14" applyFont="1" applyFill="1" applyBorder="1"/>
    <xf numFmtId="0" fontId="6" fillId="3" borderId="2" xfId="14" applyFont="1" applyFill="1" applyBorder="1"/>
    <xf numFmtId="0" fontId="6" fillId="3" borderId="3" xfId="14" applyFont="1" applyFill="1" applyBorder="1"/>
    <xf numFmtId="0" fontId="6" fillId="3" borderId="1" xfId="14" applyFont="1" applyFill="1" applyBorder="1"/>
    <xf numFmtId="0" fontId="6" fillId="3" borderId="15" xfId="14" applyFont="1" applyFill="1" applyBorder="1"/>
    <xf numFmtId="0" fontId="4" fillId="3" borderId="16" xfId="14" applyFont="1" applyFill="1" applyBorder="1" applyAlignment="1">
      <alignment horizontal="center"/>
    </xf>
    <xf numFmtId="0" fontId="6" fillId="3" borderId="16" xfId="14" applyFont="1" applyFill="1" applyBorder="1" applyAlignment="1">
      <alignment horizontal="center"/>
    </xf>
    <xf numFmtId="0" fontId="6" fillId="3" borderId="19" xfId="14" applyFont="1" applyFill="1" applyBorder="1" applyAlignment="1">
      <alignment horizontal="center"/>
    </xf>
    <xf numFmtId="9" fontId="6" fillId="3" borderId="0" xfId="14" applyNumberFormat="1" applyFont="1" applyFill="1"/>
    <xf numFmtId="10" fontId="6" fillId="3" borderId="0" xfId="14" applyNumberFormat="1" applyFont="1" applyFill="1"/>
    <xf numFmtId="181" fontId="17" fillId="3" borderId="0" xfId="14" applyNumberFormat="1" applyFont="1" applyFill="1"/>
    <xf numFmtId="0" fontId="17" fillId="3" borderId="0" xfId="14" applyFont="1" applyFill="1"/>
    <xf numFmtId="181" fontId="17" fillId="3" borderId="0" xfId="3" applyNumberFormat="1" applyFont="1" applyFill="1"/>
    <xf numFmtId="10" fontId="6" fillId="3" borderId="0" xfId="14" applyNumberFormat="1" applyFont="1" applyFill="1" applyAlignment="1">
      <alignment horizontal="center"/>
    </xf>
    <xf numFmtId="10" fontId="6" fillId="3" borderId="0" xfId="3" applyNumberFormat="1" applyFont="1" applyFill="1"/>
    <xf numFmtId="10" fontId="6" fillId="3" borderId="0" xfId="3" applyNumberFormat="1" applyFont="1" applyFill="1" applyAlignment="1">
      <alignment horizontal="center"/>
    </xf>
    <xf numFmtId="10" fontId="18" fillId="3" borderId="0" xfId="0" applyNumberFormat="1" applyFont="1" applyFill="1" applyAlignment="1">
      <alignment horizontal="center"/>
    </xf>
    <xf numFmtId="10" fontId="18" fillId="3" borderId="0" xfId="0" applyNumberFormat="1" applyFont="1" applyFill="1" applyAlignment="1">
      <alignment vertical="center"/>
    </xf>
    <xf numFmtId="10" fontId="18" fillId="3" borderId="0" xfId="3" applyNumberFormat="1" applyFont="1" applyFill="1" applyAlignment="1">
      <alignment horizontal="center"/>
    </xf>
    <xf numFmtId="0" fontId="46" fillId="6" borderId="40" xfId="14" applyFont="1" applyFill="1" applyBorder="1" applyAlignment="1">
      <alignment horizontal="center"/>
    </xf>
    <xf numFmtId="0" fontId="46" fillId="6" borderId="41" xfId="14" applyFont="1" applyFill="1" applyBorder="1" applyAlignment="1">
      <alignment horizontal="center"/>
    </xf>
    <xf numFmtId="0" fontId="46" fillId="6" borderId="42" xfId="14" applyFont="1" applyFill="1" applyBorder="1" applyAlignment="1">
      <alignment horizontal="center"/>
    </xf>
    <xf numFmtId="0" fontId="36" fillId="4" borderId="46" xfId="14" applyFont="1" applyFill="1" applyBorder="1" applyAlignment="1">
      <alignment horizontal="center"/>
    </xf>
    <xf numFmtId="0" fontId="36" fillId="4" borderId="47" xfId="14" applyFont="1" applyFill="1" applyBorder="1" applyAlignment="1">
      <alignment horizontal="center"/>
    </xf>
    <xf numFmtId="10" fontId="36" fillId="4" borderId="47" xfId="14" applyNumberFormat="1" applyFont="1" applyFill="1" applyBorder="1"/>
    <xf numFmtId="0" fontId="36" fillId="4" borderId="47" xfId="14" applyFont="1" applyFill="1" applyBorder="1"/>
    <xf numFmtId="0" fontId="36" fillId="4" borderId="48" xfId="14" applyFont="1" applyFill="1" applyBorder="1"/>
    <xf numFmtId="10" fontId="36" fillId="4" borderId="47" xfId="3" applyNumberFormat="1" applyFont="1" applyFill="1" applyBorder="1"/>
    <xf numFmtId="10" fontId="36" fillId="4" borderId="48" xfId="14" applyNumberFormat="1" applyFont="1" applyFill="1" applyBorder="1"/>
    <xf numFmtId="10" fontId="36" fillId="4" borderId="48" xfId="3" applyNumberFormat="1" applyFont="1" applyFill="1" applyBorder="1"/>
    <xf numFmtId="0" fontId="36" fillId="4" borderId="49" xfId="14" applyFont="1" applyFill="1" applyBorder="1" applyAlignment="1">
      <alignment horizontal="center"/>
    </xf>
    <xf numFmtId="0" fontId="36" fillId="4" borderId="50" xfId="14" applyFont="1" applyFill="1" applyBorder="1" applyAlignment="1">
      <alignment horizontal="center"/>
    </xf>
    <xf numFmtId="10" fontId="36" fillId="4" borderId="50" xfId="3" applyNumberFormat="1" applyFont="1" applyFill="1" applyBorder="1"/>
    <xf numFmtId="10" fontId="36" fillId="4" borderId="51" xfId="3" applyNumberFormat="1" applyFont="1" applyFill="1" applyBorder="1"/>
    <xf numFmtId="0" fontId="36" fillId="4" borderId="52" xfId="14" applyFont="1" applyFill="1" applyBorder="1" applyAlignment="1">
      <alignment horizontal="center"/>
    </xf>
    <xf numFmtId="0" fontId="36" fillId="4" borderId="53" xfId="14" applyFont="1" applyFill="1" applyBorder="1" applyAlignment="1">
      <alignment horizontal="center"/>
    </xf>
    <xf numFmtId="10" fontId="36" fillId="4" borderId="53" xfId="14" applyNumberFormat="1" applyFont="1" applyFill="1" applyBorder="1"/>
    <xf numFmtId="0" fontId="36" fillId="4" borderId="53" xfId="14" applyFont="1" applyFill="1" applyBorder="1"/>
    <xf numFmtId="0" fontId="36" fillId="4" borderId="54" xfId="14" applyFont="1" applyFill="1" applyBorder="1"/>
    <xf numFmtId="0" fontId="41" fillId="6" borderId="55" xfId="14" applyFont="1" applyFill="1" applyBorder="1" applyAlignment="1">
      <alignment horizontal="center"/>
    </xf>
    <xf numFmtId="0" fontId="41" fillId="6" borderId="56" xfId="14" applyFont="1" applyFill="1" applyBorder="1" applyAlignment="1">
      <alignment horizontal="center"/>
    </xf>
    <xf numFmtId="0" fontId="41" fillId="6" borderId="56" xfId="14" applyFont="1" applyFill="1" applyBorder="1" applyAlignment="1">
      <alignment horizontal="center" vertical="center"/>
    </xf>
    <xf numFmtId="58" fontId="41" fillId="6" borderId="56" xfId="14" applyNumberFormat="1" applyFont="1" applyFill="1" applyBorder="1" applyAlignment="1">
      <alignment horizontal="center" vertical="center"/>
    </xf>
    <xf numFmtId="0" fontId="41" fillId="6" borderId="57" xfId="14" applyFont="1" applyFill="1" applyBorder="1" applyAlignment="1">
      <alignment horizontal="center" vertical="center"/>
    </xf>
    <xf numFmtId="0" fontId="40" fillId="6" borderId="43" xfId="14" applyFont="1" applyFill="1" applyBorder="1" applyAlignment="1">
      <alignment horizontal="center"/>
    </xf>
    <xf numFmtId="0" fontId="40" fillId="6" borderId="44" xfId="14" applyFont="1" applyFill="1" applyBorder="1" applyAlignment="1">
      <alignment horizontal="center"/>
    </xf>
    <xf numFmtId="0" fontId="40" fillId="6" borderId="44" xfId="14" applyFont="1" applyFill="1" applyBorder="1"/>
    <xf numFmtId="0" fontId="40" fillId="6" borderId="45" xfId="14" applyFont="1" applyFill="1" applyBorder="1"/>
    <xf numFmtId="0" fontId="6" fillId="3" borderId="0" xfId="0" applyFont="1" applyFill="1"/>
    <xf numFmtId="0" fontId="6" fillId="3" borderId="0" xfId="0" applyFont="1" applyFill="1" applyAlignment="1">
      <alignment horizontal="center" vertical="center" wrapText="1"/>
    </xf>
    <xf numFmtId="0" fontId="46" fillId="6" borderId="40" xfId="14" applyFont="1" applyFill="1" applyBorder="1" applyAlignment="1">
      <alignment horizontal="left"/>
    </xf>
    <xf numFmtId="0" fontId="46" fillId="6" borderId="41" xfId="14" applyFont="1" applyFill="1" applyBorder="1" applyAlignment="1">
      <alignment horizontal="left"/>
    </xf>
    <xf numFmtId="0" fontId="46" fillId="6" borderId="42" xfId="14" applyFont="1" applyFill="1" applyBorder="1" applyAlignment="1">
      <alignment horizontal="left"/>
    </xf>
    <xf numFmtId="0" fontId="36" fillId="4" borderId="46" xfId="0" applyFont="1" applyFill="1" applyBorder="1" applyAlignment="1">
      <alignment horizontal="center"/>
    </xf>
    <xf numFmtId="178" fontId="48" fillId="4" borderId="47" xfId="0" applyNumberFormat="1" applyFont="1" applyFill="1" applyBorder="1"/>
    <xf numFmtId="178" fontId="49" fillId="4" borderId="47" xfId="0" applyNumberFormat="1" applyFont="1" applyFill="1" applyBorder="1" applyAlignment="1">
      <alignment horizontal="right" vertical="center"/>
    </xf>
    <xf numFmtId="178" fontId="49" fillId="4" borderId="47" xfId="0" applyNumberFormat="1" applyFont="1" applyFill="1" applyBorder="1" applyAlignment="1">
      <alignment horizontal="center" vertical="center"/>
    </xf>
    <xf numFmtId="178" fontId="49" fillId="4" borderId="48" xfId="0" applyNumberFormat="1" applyFont="1" applyFill="1" applyBorder="1" applyAlignment="1">
      <alignment horizontal="center" vertical="center"/>
    </xf>
    <xf numFmtId="2" fontId="48" fillId="4" borderId="47" xfId="0" applyNumberFormat="1" applyFont="1" applyFill="1" applyBorder="1"/>
    <xf numFmtId="2" fontId="49" fillId="4" borderId="47" xfId="0" applyNumberFormat="1" applyFont="1" applyFill="1" applyBorder="1" applyAlignment="1">
      <alignment horizontal="right" vertical="center"/>
    </xf>
    <xf numFmtId="2" fontId="49" fillId="4" borderId="47" xfId="0" applyNumberFormat="1" applyFont="1" applyFill="1" applyBorder="1" applyAlignment="1">
      <alignment horizontal="center" vertical="center"/>
    </xf>
    <xf numFmtId="2" fontId="49" fillId="4" borderId="48" xfId="0" applyNumberFormat="1" applyFont="1" applyFill="1" applyBorder="1" applyAlignment="1">
      <alignment horizontal="center" vertical="center"/>
    </xf>
    <xf numFmtId="0" fontId="36" fillId="4" borderId="49" xfId="0" applyFont="1" applyFill="1" applyBorder="1" applyAlignment="1">
      <alignment horizontal="center"/>
    </xf>
    <xf numFmtId="180" fontId="48" fillId="4" borderId="50" xfId="0" applyNumberFormat="1" applyFont="1" applyFill="1" applyBorder="1"/>
    <xf numFmtId="180" fontId="49" fillId="4" borderId="50" xfId="0" applyNumberFormat="1" applyFont="1" applyFill="1" applyBorder="1" applyAlignment="1">
      <alignment horizontal="right" vertical="center"/>
    </xf>
    <xf numFmtId="180" fontId="49" fillId="4" borderId="50" xfId="0" applyNumberFormat="1" applyFont="1" applyFill="1" applyBorder="1" applyAlignment="1">
      <alignment horizontal="center" vertical="center"/>
    </xf>
    <xf numFmtId="180" fontId="49" fillId="4" borderId="51" xfId="0" applyNumberFormat="1" applyFont="1" applyFill="1" applyBorder="1" applyAlignment="1">
      <alignment horizontal="center" vertical="center"/>
    </xf>
    <xf numFmtId="0" fontId="36" fillId="4" borderId="52" xfId="0" applyFont="1" applyFill="1" applyBorder="1" applyAlignment="1">
      <alignment horizontal="center"/>
    </xf>
    <xf numFmtId="178" fontId="48" fillId="4" borderId="53" xfId="0" applyNumberFormat="1" applyFont="1" applyFill="1" applyBorder="1"/>
    <xf numFmtId="178" fontId="49" fillId="4" borderId="53" xfId="0" applyNumberFormat="1" applyFont="1" applyFill="1" applyBorder="1" applyAlignment="1">
      <alignment horizontal="right" vertical="center"/>
    </xf>
    <xf numFmtId="178" fontId="49" fillId="4" borderId="53" xfId="0" applyNumberFormat="1" applyFont="1" applyFill="1" applyBorder="1" applyAlignment="1">
      <alignment horizontal="center" vertical="center"/>
    </xf>
    <xf numFmtId="178" fontId="49" fillId="4" borderId="54" xfId="0" applyNumberFormat="1" applyFont="1" applyFill="1" applyBorder="1" applyAlignment="1">
      <alignment horizontal="center" vertical="center"/>
    </xf>
    <xf numFmtId="0" fontId="41" fillId="6" borderId="46" xfId="0" applyFont="1" applyFill="1" applyBorder="1" applyAlignment="1">
      <alignment horizontal="center" vertical="center" wrapText="1"/>
    </xf>
    <xf numFmtId="0" fontId="50" fillId="6" borderId="47" xfId="0" applyFont="1" applyFill="1" applyBorder="1" applyAlignment="1">
      <alignment horizontal="center" vertical="center"/>
    </xf>
    <xf numFmtId="0" fontId="51" fillId="6" borderId="47" xfId="0" applyFont="1" applyFill="1" applyBorder="1" applyAlignment="1">
      <alignment horizontal="center" vertical="center"/>
    </xf>
    <xf numFmtId="0" fontId="51" fillId="6" borderId="48" xfId="0" applyFont="1" applyFill="1" applyBorder="1" applyAlignment="1">
      <alignment horizontal="center" vertical="center"/>
    </xf>
    <xf numFmtId="0" fontId="41" fillId="6" borderId="46" xfId="0" applyFont="1" applyFill="1" applyBorder="1" applyAlignment="1">
      <alignment horizontal="center"/>
    </xf>
    <xf numFmtId="0" fontId="50" fillId="6" borderId="47" xfId="0" applyFont="1" applyFill="1" applyBorder="1" applyAlignment="1">
      <alignment horizontal="center"/>
    </xf>
    <xf numFmtId="0" fontId="50" fillId="6" borderId="48" xfId="0" applyFont="1" applyFill="1" applyBorder="1" applyAlignment="1">
      <alignment horizontal="center"/>
    </xf>
    <xf numFmtId="0" fontId="41" fillId="6" borderId="55" xfId="2" applyFont="1" applyFill="1" applyBorder="1" applyAlignment="1" applyProtection="1">
      <alignment horizontal="center"/>
      <protection locked="0"/>
    </xf>
    <xf numFmtId="178" fontId="50" fillId="6" borderId="56" xfId="0" applyNumberFormat="1" applyFont="1" applyFill="1" applyBorder="1" applyAlignment="1">
      <alignment horizontal="center"/>
    </xf>
    <xf numFmtId="178" fontId="50" fillId="6" borderId="57" xfId="0" applyNumberFormat="1" applyFont="1" applyFill="1" applyBorder="1" applyAlignment="1">
      <alignment horizontal="center"/>
    </xf>
    <xf numFmtId="0" fontId="40" fillId="6" borderId="58" xfId="0" applyFont="1" applyFill="1" applyBorder="1" applyAlignment="1">
      <alignment horizontal="center" vertical="center" wrapText="1"/>
    </xf>
    <xf numFmtId="0" fontId="50" fillId="6" borderId="59" xfId="0" applyFont="1" applyFill="1" applyBorder="1" applyAlignment="1">
      <alignment horizontal="center"/>
    </xf>
    <xf numFmtId="0" fontId="51" fillId="6" borderId="59" xfId="0" applyFont="1" applyFill="1" applyBorder="1" applyAlignment="1">
      <alignment horizontal="center"/>
    </xf>
    <xf numFmtId="0" fontId="51" fillId="6" borderId="60" xfId="0" applyFont="1" applyFill="1" applyBorder="1" applyAlignment="1">
      <alignment horizontal="center"/>
    </xf>
    <xf numFmtId="0" fontId="36" fillId="4" borderId="63" xfId="0" applyFont="1" applyFill="1" applyBorder="1" applyAlignment="1">
      <alignment horizontal="center" vertical="center"/>
    </xf>
    <xf numFmtId="0" fontId="36" fillId="4" borderId="47" xfId="0" applyFont="1" applyFill="1" applyBorder="1" applyAlignment="1">
      <alignment horizontal="center" vertical="center"/>
    </xf>
    <xf numFmtId="0" fontId="36" fillId="4" borderId="48" xfId="0" applyFont="1" applyFill="1" applyBorder="1" applyAlignment="1">
      <alignment horizontal="center" vertical="center"/>
    </xf>
    <xf numFmtId="10" fontId="36" fillId="4" borderId="47" xfId="0" applyNumberFormat="1" applyFont="1" applyFill="1" applyBorder="1" applyAlignment="1">
      <alignment horizontal="center" vertical="center"/>
    </xf>
    <xf numFmtId="0" fontId="35" fillId="4" borderId="48" xfId="0" applyFont="1" applyFill="1" applyBorder="1" applyAlignment="1">
      <alignment horizontal="center" vertical="center"/>
    </xf>
    <xf numFmtId="0" fontId="38" fillId="4" borderId="47" xfId="0" applyFont="1" applyFill="1" applyBorder="1" applyAlignment="1">
      <alignment horizontal="center" vertical="center"/>
    </xf>
    <xf numFmtId="0" fontId="38" fillId="4" borderId="64" xfId="0" applyFont="1" applyFill="1" applyBorder="1" applyAlignment="1">
      <alignment horizontal="center" vertical="center"/>
    </xf>
    <xf numFmtId="0" fontId="38" fillId="4" borderId="65" xfId="0" applyFont="1" applyFill="1" applyBorder="1" applyAlignment="1">
      <alignment horizontal="center" vertical="center"/>
    </xf>
    <xf numFmtId="0" fontId="36" fillId="5" borderId="68" xfId="0" applyFont="1" applyFill="1" applyBorder="1" applyAlignment="1">
      <alignment horizontal="center" vertical="center"/>
    </xf>
    <xf numFmtId="0" fontId="36" fillId="4" borderId="70" xfId="0" applyFont="1" applyFill="1" applyBorder="1" applyAlignment="1">
      <alignment horizontal="center" vertical="center"/>
    </xf>
    <xf numFmtId="0" fontId="36" fillId="4" borderId="53" xfId="0" applyFont="1" applyFill="1" applyBorder="1" applyAlignment="1">
      <alignment horizontal="center" vertical="center"/>
    </xf>
    <xf numFmtId="1" fontId="36" fillId="4" borderId="54" xfId="0" applyNumberFormat="1" applyFont="1" applyFill="1" applyBorder="1" applyAlignment="1">
      <alignment horizontal="center" vertical="center"/>
    </xf>
    <xf numFmtId="0" fontId="52" fillId="8" borderId="40" xfId="0" applyFont="1" applyFill="1" applyBorder="1" applyAlignment="1">
      <alignment horizontal="center" vertical="center"/>
    </xf>
    <xf numFmtId="0" fontId="52" fillId="8" borderId="41" xfId="0" applyFont="1" applyFill="1" applyBorder="1" applyAlignment="1">
      <alignment horizontal="center" vertical="center"/>
    </xf>
    <xf numFmtId="0" fontId="52" fillId="8" borderId="71" xfId="0" applyFont="1" applyFill="1" applyBorder="1" applyAlignment="1">
      <alignment horizontal="center" vertical="center"/>
    </xf>
    <xf numFmtId="0" fontId="38" fillId="2" borderId="67" xfId="0" applyFont="1" applyFill="1" applyBorder="1" applyAlignment="1">
      <alignment horizontal="center" vertical="center"/>
    </xf>
    <xf numFmtId="0" fontId="38" fillId="2" borderId="68" xfId="0" applyFont="1" applyFill="1" applyBorder="1" applyAlignment="1">
      <alignment horizontal="center" vertical="center"/>
    </xf>
    <xf numFmtId="0" fontId="36" fillId="5" borderId="65" xfId="0" applyFont="1" applyFill="1" applyBorder="1" applyAlignment="1">
      <alignment horizontal="center" vertical="center"/>
    </xf>
    <xf numFmtId="0" fontId="7" fillId="5" borderId="66" xfId="0" applyFont="1" applyFill="1" applyBorder="1" applyAlignment="1">
      <alignment horizontal="center" vertical="center"/>
    </xf>
    <xf numFmtId="0" fontId="7" fillId="5" borderId="69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77" fontId="6" fillId="3" borderId="0" xfId="3" applyNumberFormat="1" applyFont="1" applyFill="1" applyBorder="1" applyAlignment="1">
      <alignment horizontal="center" vertical="center"/>
    </xf>
    <xf numFmtId="0" fontId="13" fillId="3" borderId="0" xfId="0" applyFont="1" applyFill="1"/>
    <xf numFmtId="10" fontId="6" fillId="3" borderId="0" xfId="0" applyNumberFormat="1" applyFont="1" applyFill="1" applyAlignment="1">
      <alignment horizontal="center" vertical="center"/>
    </xf>
    <xf numFmtId="0" fontId="53" fillId="10" borderId="0" xfId="0" applyFont="1" applyFill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177" fontId="8" fillId="10" borderId="3" xfId="3" applyNumberFormat="1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10" xfId="0" applyFont="1" applyFill="1" applyBorder="1" applyAlignment="1">
      <alignment horizontal="center" vertical="center"/>
    </xf>
    <xf numFmtId="0" fontId="9" fillId="10" borderId="11" xfId="0" applyFon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0" fontId="14" fillId="10" borderId="4" xfId="0" applyFont="1" applyFill="1" applyBorder="1" applyAlignment="1">
      <alignment horizontal="center" vertical="center"/>
    </xf>
    <xf numFmtId="177" fontId="14" fillId="10" borderId="5" xfId="3" applyNumberFormat="1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center" vertical="center"/>
    </xf>
    <xf numFmtId="0" fontId="14" fillId="10" borderId="15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5" fillId="10" borderId="16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9" fillId="10" borderId="14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177" fontId="10" fillId="10" borderId="5" xfId="3" applyNumberFormat="1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9" fillId="10" borderId="7" xfId="0" applyFont="1" applyFill="1" applyBorder="1" applyAlignment="1">
      <alignment horizontal="center" vertical="center"/>
    </xf>
    <xf numFmtId="9" fontId="9" fillId="10" borderId="7" xfId="7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38" fillId="4" borderId="48" xfId="0" applyFont="1" applyFill="1" applyBorder="1" applyAlignment="1">
      <alignment horizontal="center" vertical="center"/>
    </xf>
    <xf numFmtId="0" fontId="36" fillId="4" borderId="63" xfId="0" applyFont="1" applyFill="1" applyBorder="1" applyAlignment="1">
      <alignment horizontal="center" vertical="center"/>
    </xf>
    <xf numFmtId="0" fontId="36" fillId="4" borderId="47" xfId="0" applyFont="1" applyFill="1" applyBorder="1" applyAlignment="1">
      <alignment horizontal="center" vertical="center"/>
    </xf>
    <xf numFmtId="0" fontId="35" fillId="4" borderId="47" xfId="0" applyFont="1" applyFill="1" applyBorder="1" applyAlignment="1">
      <alignment horizontal="center" vertical="center"/>
    </xf>
    <xf numFmtId="0" fontId="36" fillId="5" borderId="67" xfId="0" applyFont="1" applyFill="1" applyBorder="1" applyAlignment="1">
      <alignment horizontal="center" vertical="center"/>
    </xf>
    <xf numFmtId="0" fontId="36" fillId="5" borderId="68" xfId="0" applyFont="1" applyFill="1" applyBorder="1" applyAlignment="1">
      <alignment horizontal="center" vertical="center"/>
    </xf>
    <xf numFmtId="0" fontId="36" fillId="5" borderId="64" xfId="0" applyFont="1" applyFill="1" applyBorder="1" applyAlignment="1">
      <alignment horizontal="center" vertical="center"/>
    </xf>
    <xf numFmtId="0" fontId="36" fillId="5" borderId="65" xfId="0" applyFont="1" applyFill="1" applyBorder="1" applyAlignment="1">
      <alignment horizontal="center" vertical="center"/>
    </xf>
    <xf numFmtId="0" fontId="54" fillId="5" borderId="72" xfId="0" applyFont="1" applyFill="1" applyBorder="1" applyAlignment="1">
      <alignment horizontal="center" vertical="center"/>
    </xf>
    <xf numFmtId="0" fontId="54" fillId="5" borderId="73" xfId="0" applyFont="1" applyFill="1" applyBorder="1" applyAlignment="1">
      <alignment horizontal="center" vertical="center"/>
    </xf>
    <xf numFmtId="0" fontId="55" fillId="6" borderId="40" xfId="0" applyFont="1" applyFill="1" applyBorder="1" applyAlignment="1">
      <alignment horizontal="center" vertical="center"/>
    </xf>
    <xf numFmtId="0" fontId="55" fillId="6" borderId="41" xfId="0" applyFont="1" applyFill="1" applyBorder="1" applyAlignment="1">
      <alignment horizontal="center" vertical="center"/>
    </xf>
    <xf numFmtId="0" fontId="55" fillId="6" borderId="42" xfId="0" applyFont="1" applyFill="1" applyBorder="1" applyAlignment="1">
      <alignment horizontal="center" vertical="center"/>
    </xf>
    <xf numFmtId="0" fontId="54" fillId="5" borderId="61" xfId="0" applyFont="1" applyFill="1" applyBorder="1" applyAlignment="1">
      <alignment horizontal="center" vertical="center"/>
    </xf>
    <xf numFmtId="0" fontId="54" fillId="5" borderId="20" xfId="0" applyFont="1" applyFill="1" applyBorder="1" applyAlignment="1">
      <alignment horizontal="center" vertical="center"/>
    </xf>
    <xf numFmtId="0" fontId="37" fillId="4" borderId="63" xfId="0" applyFont="1" applyFill="1" applyBorder="1" applyAlignment="1">
      <alignment horizontal="center"/>
    </xf>
    <xf numFmtId="176" fontId="37" fillId="4" borderId="47" xfId="0" applyNumberFormat="1" applyFont="1" applyFill="1" applyBorder="1" applyAlignment="1">
      <alignment horizontal="center"/>
    </xf>
    <xf numFmtId="0" fontId="37" fillId="4" borderId="75" xfId="0" applyFont="1" applyFill="1" applyBorder="1" applyAlignment="1">
      <alignment horizontal="center"/>
    </xf>
    <xf numFmtId="176" fontId="37" fillId="4" borderId="56" xfId="0" applyNumberFormat="1" applyFont="1" applyFill="1" applyBorder="1" applyAlignment="1">
      <alignment horizontal="center"/>
    </xf>
    <xf numFmtId="0" fontId="37" fillId="4" borderId="70" xfId="0" applyFont="1" applyFill="1" applyBorder="1" applyAlignment="1">
      <alignment horizontal="center"/>
    </xf>
    <xf numFmtId="176" fontId="37" fillId="4" borderId="53" xfId="0" applyNumberFormat="1" applyFont="1" applyFill="1" applyBorder="1" applyAlignment="1">
      <alignment horizontal="center"/>
    </xf>
    <xf numFmtId="0" fontId="42" fillId="6" borderId="63" xfId="0" applyFont="1" applyFill="1" applyBorder="1" applyAlignment="1">
      <alignment horizontal="center" vertical="center" wrapText="1"/>
    </xf>
    <xf numFmtId="0" fontId="42" fillId="6" borderId="47" xfId="0" applyFont="1" applyFill="1" applyBorder="1" applyAlignment="1">
      <alignment horizontal="center"/>
    </xf>
    <xf numFmtId="0" fontId="42" fillId="6" borderId="77" xfId="0" applyFont="1" applyFill="1" applyBorder="1" applyAlignment="1">
      <alignment horizontal="center"/>
    </xf>
    <xf numFmtId="0" fontId="42" fillId="6" borderId="75" xfId="0" applyFont="1" applyFill="1" applyBorder="1" applyAlignment="1">
      <alignment horizontal="center" vertical="center" wrapText="1"/>
    </xf>
    <xf numFmtId="0" fontId="42" fillId="6" borderId="56" xfId="0" applyFont="1" applyFill="1" applyBorder="1" applyAlignment="1">
      <alignment horizontal="center"/>
    </xf>
    <xf numFmtId="0" fontId="56" fillId="6" borderId="62" xfId="0" applyFont="1" applyFill="1" applyBorder="1" applyAlignment="1">
      <alignment horizontal="center" vertical="center" wrapText="1"/>
    </xf>
    <xf numFmtId="0" fontId="56" fillId="6" borderId="44" xfId="0" applyFont="1" applyFill="1" applyBorder="1" applyAlignment="1">
      <alignment horizontal="center"/>
    </xf>
    <xf numFmtId="0" fontId="56" fillId="6" borderId="74" xfId="0" applyFont="1" applyFill="1" applyBorder="1" applyAlignment="1">
      <alignment horizontal="center"/>
    </xf>
    <xf numFmtId="0" fontId="42" fillId="6" borderId="79" xfId="0" applyFont="1" applyFill="1" applyBorder="1" applyAlignment="1">
      <alignment horizontal="center"/>
    </xf>
    <xf numFmtId="176" fontId="37" fillId="4" borderId="80" xfId="0" applyNumberFormat="1" applyFont="1" applyFill="1" applyBorder="1" applyAlignment="1">
      <alignment horizontal="center"/>
    </xf>
    <xf numFmtId="176" fontId="37" fillId="4" borderId="81" xfId="0" applyNumberFormat="1" applyFont="1" applyFill="1" applyBorder="1" applyAlignment="1">
      <alignment horizontal="center"/>
    </xf>
    <xf numFmtId="176" fontId="37" fillId="4" borderId="79" xfId="0" applyNumberFormat="1" applyFont="1" applyFill="1" applyBorder="1" applyAlignment="1">
      <alignment horizontal="center"/>
    </xf>
    <xf numFmtId="0" fontId="43" fillId="4" borderId="63" xfId="0" applyFont="1" applyFill="1" applyBorder="1"/>
    <xf numFmtId="0" fontId="43" fillId="4" borderId="77" xfId="0" applyFont="1" applyFill="1" applyBorder="1"/>
    <xf numFmtId="0" fontId="43" fillId="4" borderId="75" xfId="0" applyFont="1" applyFill="1" applyBorder="1"/>
    <xf numFmtId="0" fontId="43" fillId="4" borderId="76" xfId="0" applyFont="1" applyFill="1" applyBorder="1"/>
    <xf numFmtId="0" fontId="43" fillId="4" borderId="70" xfId="0" applyFont="1" applyFill="1" applyBorder="1"/>
    <xf numFmtId="0" fontId="43" fillId="4" borderId="78" xfId="0" applyFont="1" applyFill="1" applyBorder="1"/>
    <xf numFmtId="0" fontId="56" fillId="6" borderId="40" xfId="0" applyFont="1" applyFill="1" applyBorder="1" applyAlignment="1">
      <alignment horizontal="center"/>
    </xf>
    <xf numFmtId="0" fontId="56" fillId="6" borderId="42" xfId="0" applyFont="1" applyFill="1" applyBorder="1" applyAlignment="1">
      <alignment horizontal="center"/>
    </xf>
    <xf numFmtId="0" fontId="57" fillId="4" borderId="46" xfId="0" applyFont="1" applyFill="1" applyBorder="1" applyAlignment="1">
      <alignment horizontal="center" vertical="center"/>
    </xf>
    <xf numFmtId="0" fontId="58" fillId="4" borderId="47" xfId="0" applyFont="1" applyFill="1" applyBorder="1" applyAlignment="1">
      <alignment vertical="center"/>
    </xf>
    <xf numFmtId="0" fontId="58" fillId="4" borderId="48" xfId="0" applyFont="1" applyFill="1" applyBorder="1" applyAlignment="1">
      <alignment vertical="center"/>
    </xf>
    <xf numFmtId="0" fontId="57" fillId="4" borderId="49" xfId="0" applyFont="1" applyFill="1" applyBorder="1" applyAlignment="1">
      <alignment horizontal="center" vertical="center"/>
    </xf>
    <xf numFmtId="0" fontId="58" fillId="4" borderId="50" xfId="0" applyFont="1" applyFill="1" applyBorder="1" applyAlignment="1">
      <alignment vertical="center"/>
    </xf>
    <xf numFmtId="0" fontId="58" fillId="4" borderId="51" xfId="0" applyFont="1" applyFill="1" applyBorder="1" applyAlignment="1">
      <alignment vertical="center"/>
    </xf>
    <xf numFmtId="0" fontId="57" fillId="4" borderId="52" xfId="0" applyFont="1" applyFill="1" applyBorder="1" applyAlignment="1">
      <alignment horizontal="center" vertical="center"/>
    </xf>
    <xf numFmtId="0" fontId="58" fillId="4" borderId="53" xfId="0" applyFont="1" applyFill="1" applyBorder="1" applyAlignment="1">
      <alignment vertical="center"/>
    </xf>
    <xf numFmtId="0" fontId="58" fillId="4" borderId="54" xfId="0" applyFont="1" applyFill="1" applyBorder="1" applyAlignment="1">
      <alignment vertical="center"/>
    </xf>
    <xf numFmtId="0" fontId="59" fillId="6" borderId="58" xfId="0" applyFont="1" applyFill="1" applyBorder="1" applyAlignment="1">
      <alignment horizontal="center" vertical="center"/>
    </xf>
    <xf numFmtId="0" fontId="59" fillId="6" borderId="59" xfId="0" applyFont="1" applyFill="1" applyBorder="1" applyAlignment="1">
      <alignment horizontal="center" vertical="center"/>
    </xf>
    <xf numFmtId="0" fontId="59" fillId="6" borderId="60" xfId="0" applyFont="1" applyFill="1" applyBorder="1" applyAlignment="1">
      <alignment horizontal="center" vertical="center"/>
    </xf>
    <xf numFmtId="0" fontId="59" fillId="6" borderId="46" xfId="0" applyFont="1" applyFill="1" applyBorder="1" applyAlignment="1">
      <alignment horizontal="center" vertical="center"/>
    </xf>
    <xf numFmtId="0" fontId="59" fillId="6" borderId="47" xfId="0" applyFont="1" applyFill="1" applyBorder="1" applyAlignment="1">
      <alignment horizontal="center" vertical="center"/>
    </xf>
    <xf numFmtId="0" fontId="59" fillId="6" borderId="48" xfId="0" applyFont="1" applyFill="1" applyBorder="1" applyAlignment="1">
      <alignment horizontal="center" vertical="center"/>
    </xf>
    <xf numFmtId="0" fontId="59" fillId="6" borderId="55" xfId="0" applyFont="1" applyFill="1" applyBorder="1" applyAlignment="1">
      <alignment horizontal="center" vertical="center"/>
    </xf>
    <xf numFmtId="0" fontId="59" fillId="6" borderId="56" xfId="0" applyFont="1" applyFill="1" applyBorder="1" applyAlignment="1">
      <alignment horizontal="center" vertical="center"/>
    </xf>
    <xf numFmtId="0" fontId="59" fillId="6" borderId="57" xfId="0" applyFont="1" applyFill="1" applyBorder="1" applyAlignment="1">
      <alignment horizontal="center" vertical="center"/>
    </xf>
    <xf numFmtId="0" fontId="55" fillId="6" borderId="40" xfId="0" applyFont="1" applyFill="1" applyBorder="1" applyAlignment="1">
      <alignment horizontal="center"/>
    </xf>
    <xf numFmtId="0" fontId="55" fillId="6" borderId="41" xfId="0" applyFont="1" applyFill="1" applyBorder="1" applyAlignment="1">
      <alignment horizontal="center"/>
    </xf>
    <xf numFmtId="0" fontId="55" fillId="6" borderId="42" xfId="0" applyFont="1" applyFill="1" applyBorder="1" applyAlignment="1">
      <alignment horizontal="center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43" fillId="4" borderId="47" xfId="0" applyFont="1" applyFill="1" applyBorder="1"/>
    <xf numFmtId="0" fontId="43" fillId="4" borderId="56" xfId="0" applyFont="1" applyFill="1" applyBorder="1"/>
    <xf numFmtId="0" fontId="43" fillId="4" borderId="53" xfId="0" applyFont="1" applyFill="1" applyBorder="1"/>
    <xf numFmtId="0" fontId="60" fillId="6" borderId="75" xfId="0" applyFont="1" applyFill="1" applyBorder="1" applyAlignment="1">
      <alignment horizontal="center" vertical="center"/>
    </xf>
    <xf numFmtId="0" fontId="60" fillId="6" borderId="56" xfId="0" applyFont="1" applyFill="1" applyBorder="1" applyAlignment="1">
      <alignment horizontal="center" vertical="center"/>
    </xf>
    <xf numFmtId="0" fontId="60" fillId="6" borderId="76" xfId="0" applyFont="1" applyFill="1" applyBorder="1" applyAlignment="1">
      <alignment horizontal="center" vertical="center"/>
    </xf>
    <xf numFmtId="0" fontId="56" fillId="6" borderId="62" xfId="0" applyFont="1" applyFill="1" applyBorder="1" applyAlignment="1">
      <alignment horizontal="center"/>
    </xf>
    <xf numFmtId="0" fontId="56" fillId="6" borderId="44" xfId="0" applyFont="1" applyFill="1" applyBorder="1" applyAlignment="1">
      <alignment horizontal="center"/>
    </xf>
    <xf numFmtId="0" fontId="56" fillId="6" borderId="74" xfId="0" applyFont="1" applyFill="1" applyBorder="1" applyAlignment="1">
      <alignment horizontal="center"/>
    </xf>
  </cellXfs>
  <cellStyles count="19">
    <cellStyle name="Normal_Profit test" xfId="1" xr:uid="{00000000-0005-0000-0000-000031000000}"/>
    <cellStyle name="Standard_KEPPEL36" xfId="2" xr:uid="{00000000-0005-0000-0000-000032000000}"/>
    <cellStyle name="百分比 2" xfId="3" xr:uid="{00000000-0005-0000-0000-000033000000}"/>
    <cellStyle name="百分比 2 2" xfId="4" xr:uid="{00000000-0005-0000-0000-000034000000}"/>
    <cellStyle name="百分比 3" xfId="5" xr:uid="{00000000-0005-0000-0000-000035000000}"/>
    <cellStyle name="百分比 4" xfId="6" xr:uid="{00000000-0005-0000-0000-000036000000}"/>
    <cellStyle name="百分比 5" xfId="7" xr:uid="{00000000-0005-0000-0000-000037000000}"/>
    <cellStyle name="常规" xfId="0" builtinId="0"/>
    <cellStyle name="常规 2" xfId="8" xr:uid="{00000000-0005-0000-0000-000038000000}"/>
    <cellStyle name="常规 2 2" xfId="9" xr:uid="{00000000-0005-0000-0000-000039000000}"/>
    <cellStyle name="常规 3" xfId="10" xr:uid="{00000000-0005-0000-0000-00003A000000}"/>
    <cellStyle name="常规 3 2" xfId="11" xr:uid="{00000000-0005-0000-0000-00003B000000}"/>
    <cellStyle name="常规 4" xfId="12" xr:uid="{00000000-0005-0000-0000-00003C000000}"/>
    <cellStyle name="常规 5" xfId="13" xr:uid="{00000000-0005-0000-0000-00003D000000}"/>
    <cellStyle name="常规_EXP_LOAD" xfId="14" xr:uid="{00000000-0005-0000-0000-00003E000000}"/>
    <cellStyle name="常规_英大少儿重疾保险-模型-徐强" xfId="15" xr:uid="{00000000-0005-0000-0000-00003F000000}"/>
    <cellStyle name="千位分隔 2" xfId="16" xr:uid="{00000000-0005-0000-0000-000040000000}"/>
    <cellStyle name="千位分隔 3" xfId="17" xr:uid="{00000000-0005-0000-0000-000041000000}"/>
    <cellStyle name="样式 1" xfId="18" xr:uid="{00000000-0005-0000-0000-000042000000}"/>
  </cellStyles>
  <dxfs count="0"/>
  <tableStyles count="0" defaultTableStyle="TableStyleMedium9" defaultPivotStyle="PivotStyleLight16"/>
  <colors>
    <mruColors>
      <color rgb="FFEAD8C0"/>
      <color rgb="FFFFCC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72</xdr:row>
          <xdr:rowOff>0</xdr:rowOff>
        </xdr:from>
        <xdr:to>
          <xdr:col>1</xdr:col>
          <xdr:colOff>166688</xdr:colOff>
          <xdr:row>72</xdr:row>
          <xdr:rowOff>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72</xdr:row>
          <xdr:rowOff>0</xdr:rowOff>
        </xdr:from>
        <xdr:to>
          <xdr:col>2</xdr:col>
          <xdr:colOff>128588</xdr:colOff>
          <xdr:row>72</xdr:row>
          <xdr:rowOff>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72</xdr:row>
          <xdr:rowOff>0</xdr:rowOff>
        </xdr:from>
        <xdr:to>
          <xdr:col>9</xdr:col>
          <xdr:colOff>166688</xdr:colOff>
          <xdr:row>72</xdr:row>
          <xdr:rowOff>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176213</xdr:colOff>
          <xdr:row>80</xdr:row>
          <xdr:rowOff>152400</xdr:rowOff>
        </xdr:from>
        <xdr:to>
          <xdr:col>10</xdr:col>
          <xdr:colOff>304800</xdr:colOff>
          <xdr:row>80</xdr:row>
          <xdr:rowOff>152400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4</xdr:col>
          <xdr:colOff>128588</xdr:colOff>
          <xdr:row>18</xdr:row>
          <xdr:rowOff>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72</xdr:row>
          <xdr:rowOff>0</xdr:rowOff>
        </xdr:from>
        <xdr:to>
          <xdr:col>4</xdr:col>
          <xdr:colOff>128588</xdr:colOff>
          <xdr:row>72</xdr:row>
          <xdr:rowOff>0</xdr:rowOff>
        </xdr:to>
        <xdr:sp macro="" textlink="">
          <xdr:nvSpPr>
            <xdr:cNvPr id="1032" name="Object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12</xdr:col>
          <xdr:colOff>166688</xdr:colOff>
          <xdr:row>18</xdr:row>
          <xdr:rowOff>0</xdr:rowOff>
        </xdr:to>
        <xdr:sp macro="" textlink="">
          <xdr:nvSpPr>
            <xdr:cNvPr id="1033" name="Object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13</xdr:col>
          <xdr:colOff>128588</xdr:colOff>
          <xdr:row>18</xdr:row>
          <xdr:rowOff>0</xdr:rowOff>
        </xdr:to>
        <xdr:sp macro="" textlink="">
          <xdr:nvSpPr>
            <xdr:cNvPr id="1034" name="Object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043" name="Object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044" name="Object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4</xdr:col>
          <xdr:colOff>138113</xdr:colOff>
          <xdr:row>18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12</xdr:col>
          <xdr:colOff>176213</xdr:colOff>
          <xdr:row>18</xdr:row>
          <xdr:rowOff>0</xdr:rowOff>
        </xdr:to>
        <xdr:sp macro="" textlink="">
          <xdr:nvSpPr>
            <xdr:cNvPr id="1046" name="Object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18</xdr:row>
          <xdr:rowOff>0</xdr:rowOff>
        </xdr:from>
        <xdr:to>
          <xdr:col>13</xdr:col>
          <xdr:colOff>138113</xdr:colOff>
          <xdr:row>18</xdr:row>
          <xdr:rowOff>0</xdr:rowOff>
        </xdr:to>
        <xdr:sp macro="" textlink="">
          <xdr:nvSpPr>
            <xdr:cNvPr id="1047" name="Object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048" name="Object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049" name="Object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0</xdr:rowOff>
        </xdr:from>
        <xdr:to>
          <xdr:col>14</xdr:col>
          <xdr:colOff>138113</xdr:colOff>
          <xdr:row>18</xdr:row>
          <xdr:rowOff>0</xdr:rowOff>
        </xdr:to>
        <xdr:sp macro="" textlink="">
          <xdr:nvSpPr>
            <xdr:cNvPr id="1050" name="Object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3" Type="http://schemas.openxmlformats.org/officeDocument/2006/relationships/oleObject" Target="../embeddings/oleObject1.bin"/><Relationship Id="rId21" Type="http://schemas.openxmlformats.org/officeDocument/2006/relationships/oleObject" Target="../embeddings/oleObject17.bin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" Type="http://schemas.openxmlformats.org/officeDocument/2006/relationships/vmlDrawing" Target="../drawings/vmlDrawing1.vml"/><Relationship Id="rId16" Type="http://schemas.openxmlformats.org/officeDocument/2006/relationships/oleObject" Target="../embeddings/oleObject12.bin"/><Relationship Id="rId20" Type="http://schemas.openxmlformats.org/officeDocument/2006/relationships/oleObject" Target="../embeddings/oleObject16.bin"/><Relationship Id="rId1" Type="http://schemas.openxmlformats.org/officeDocument/2006/relationships/drawing" Target="../drawings/drawing1.xml"/><Relationship Id="rId6" Type="http://schemas.openxmlformats.org/officeDocument/2006/relationships/image" Target="../media/image2.wmf"/><Relationship Id="rId11" Type="http://schemas.openxmlformats.org/officeDocument/2006/relationships/oleObject" Target="../embeddings/oleObject7.bin"/><Relationship Id="rId5" Type="http://schemas.openxmlformats.org/officeDocument/2006/relationships/oleObject" Target="../embeddings/oleObject2.bin"/><Relationship Id="rId15" Type="http://schemas.openxmlformats.org/officeDocument/2006/relationships/oleObject" Target="../embeddings/oleObject11.bin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4" Type="http://schemas.openxmlformats.org/officeDocument/2006/relationships/image" Target="../media/image1.wmf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Relationship Id="rId22" Type="http://schemas.openxmlformats.org/officeDocument/2006/relationships/oleObject" Target="../embeddings/oleObject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3"/>
  <sheetViews>
    <sheetView zoomScale="70" zoomScaleNormal="70" workbookViewId="0">
      <selection activeCell="H20" sqref="H20"/>
    </sheetView>
  </sheetViews>
  <sheetFormatPr defaultColWidth="9" defaultRowHeight="15.75" x14ac:dyDescent="0.4"/>
  <cols>
    <col min="1" max="4" width="9" style="2"/>
    <col min="5" max="5" width="17.5" style="2" bestFit="1" customWidth="1"/>
    <col min="6" max="6" width="42.8125" style="2" customWidth="1"/>
    <col min="7" max="7" width="11.8125" style="2" customWidth="1"/>
    <col min="8" max="8" width="9" style="2"/>
    <col min="9" max="9" width="13.3125" style="2" customWidth="1"/>
    <col min="10" max="10" width="23.3125" style="2" customWidth="1"/>
    <col min="11" max="16384" width="9" style="2"/>
  </cols>
  <sheetData>
    <row r="1" spans="1:10" ht="16.149999999999999" thickBot="1" x14ac:dyDescent="0.45"/>
    <row r="2" spans="1:10" ht="16.149999999999999" thickBot="1" x14ac:dyDescent="0.45">
      <c r="A2" s="16" t="s">
        <v>0</v>
      </c>
      <c r="B2" s="17"/>
      <c r="C2" s="18"/>
      <c r="D2" s="1"/>
      <c r="E2" s="40" t="s">
        <v>1</v>
      </c>
      <c r="F2" s="41"/>
      <c r="G2" s="42"/>
      <c r="H2" s="1"/>
      <c r="I2" s="53" t="s">
        <v>2</v>
      </c>
      <c r="J2" s="54"/>
    </row>
    <row r="3" spans="1:10" ht="16.149999999999999" thickBot="1" x14ac:dyDescent="0.45">
      <c r="A3" s="13"/>
      <c r="B3" s="14"/>
      <c r="C3" s="15"/>
      <c r="D3" s="1"/>
      <c r="E3" s="23" t="s">
        <v>3</v>
      </c>
      <c r="F3" s="43" t="s">
        <v>4</v>
      </c>
      <c r="G3" s="44">
        <v>20</v>
      </c>
      <c r="H3" s="1"/>
      <c r="I3" s="37" t="s">
        <v>5</v>
      </c>
      <c r="J3" s="52"/>
    </row>
    <row r="4" spans="1:10" ht="16.149999999999999" thickBot="1" x14ac:dyDescent="0.45">
      <c r="A4" s="4"/>
      <c r="B4" s="5"/>
      <c r="C4" s="6"/>
      <c r="D4" s="1"/>
      <c r="E4" s="23" t="s">
        <v>6</v>
      </c>
      <c r="F4" s="43" t="s">
        <v>7</v>
      </c>
      <c r="G4" s="44" t="s">
        <v>155</v>
      </c>
      <c r="H4" s="1"/>
      <c r="I4" s="19" t="s">
        <v>8</v>
      </c>
      <c r="J4" s="48">
        <v>25</v>
      </c>
    </row>
    <row r="5" spans="1:10" ht="16.149999999999999" thickBot="1" x14ac:dyDescent="0.45">
      <c r="A5" s="4"/>
      <c r="B5" s="5"/>
      <c r="C5" s="6"/>
      <c r="D5" s="1"/>
      <c r="E5" s="37" t="s">
        <v>9</v>
      </c>
      <c r="F5" s="38" t="s">
        <v>10</v>
      </c>
      <c r="G5" s="39">
        <f>105-Age</f>
        <v>85</v>
      </c>
      <c r="H5" s="1"/>
      <c r="I5" s="19" t="s">
        <v>11</v>
      </c>
      <c r="J5" s="48">
        <v>25</v>
      </c>
    </row>
    <row r="6" spans="1:10" ht="16.149999999999999" thickBot="1" x14ac:dyDescent="0.45">
      <c r="A6" s="4"/>
      <c r="B6" s="5"/>
      <c r="C6" s="6"/>
      <c r="D6" s="1"/>
      <c r="E6" s="23" t="s">
        <v>12</v>
      </c>
      <c r="F6" s="24" t="s">
        <v>156</v>
      </c>
      <c r="G6" s="45">
        <v>60</v>
      </c>
      <c r="H6" s="1"/>
      <c r="I6" s="19" t="s">
        <v>13</v>
      </c>
      <c r="J6" s="48">
        <v>25</v>
      </c>
    </row>
    <row r="7" spans="1:10" ht="16.149999999999999" thickBot="1" x14ac:dyDescent="0.45">
      <c r="A7" s="4"/>
      <c r="B7" s="5"/>
      <c r="C7" s="6"/>
      <c r="D7" s="1"/>
      <c r="E7" s="23" t="s">
        <v>14</v>
      </c>
      <c r="F7" s="24" t="s">
        <v>157</v>
      </c>
      <c r="G7" s="21">
        <f>20+Begin_Age</f>
        <v>80</v>
      </c>
      <c r="H7" s="1"/>
      <c r="I7" s="19"/>
      <c r="J7" s="27"/>
    </row>
    <row r="8" spans="1:10" ht="16.149999999999999" thickBot="1" x14ac:dyDescent="0.45">
      <c r="A8" s="4"/>
      <c r="B8" s="5"/>
      <c r="C8" s="6"/>
      <c r="D8" s="1"/>
      <c r="E8" s="19" t="s">
        <v>15</v>
      </c>
      <c r="F8" s="20" t="s">
        <v>16</v>
      </c>
      <c r="G8" s="22">
        <v>85</v>
      </c>
      <c r="H8" s="1"/>
      <c r="I8" s="19"/>
      <c r="J8" s="27"/>
    </row>
    <row r="9" spans="1:10" ht="16.149999999999999" thickBot="1" x14ac:dyDescent="0.45">
      <c r="A9" s="4"/>
      <c r="B9" s="5"/>
      <c r="C9" s="6"/>
      <c r="D9" s="1"/>
      <c r="E9" s="19" t="s">
        <v>17</v>
      </c>
      <c r="F9" s="20" t="s">
        <v>18</v>
      </c>
      <c r="G9" s="45">
        <v>20</v>
      </c>
      <c r="H9" s="1"/>
      <c r="I9" s="19"/>
      <c r="J9" s="27"/>
    </row>
    <row r="10" spans="1:10" ht="16.149999999999999" thickBot="1" x14ac:dyDescent="0.45">
      <c r="A10" s="4"/>
      <c r="B10" s="5"/>
      <c r="C10" s="6"/>
      <c r="D10" s="1"/>
      <c r="E10" s="25"/>
      <c r="F10" s="26"/>
      <c r="G10" s="27"/>
      <c r="H10" s="1"/>
      <c r="I10" s="25"/>
      <c r="J10" s="27"/>
    </row>
    <row r="11" spans="1:10" ht="16.149999999999999" thickBot="1" x14ac:dyDescent="0.45">
      <c r="A11" s="4"/>
      <c r="B11" s="5"/>
      <c r="C11" s="6"/>
      <c r="D11" s="1"/>
      <c r="E11" s="19" t="s">
        <v>19</v>
      </c>
      <c r="F11" s="20" t="s">
        <v>20</v>
      </c>
      <c r="G11" s="28">
        <v>2.5000000000000001E-2</v>
      </c>
      <c r="H11" s="1"/>
      <c r="I11" s="49"/>
      <c r="J11" s="27"/>
    </row>
    <row r="12" spans="1:10" ht="16.149999999999999" thickBot="1" x14ac:dyDescent="0.45">
      <c r="A12" s="4"/>
      <c r="B12" s="5"/>
      <c r="C12" s="6"/>
      <c r="D12" s="1"/>
      <c r="E12" s="19" t="s">
        <v>21</v>
      </c>
      <c r="F12" s="20" t="s">
        <v>22</v>
      </c>
      <c r="G12" s="28">
        <v>4.4999999999999998E-2</v>
      </c>
      <c r="H12" s="1"/>
      <c r="I12" s="25"/>
      <c r="J12" s="27"/>
    </row>
    <row r="13" spans="1:10" ht="16.149999999999999" thickBot="1" x14ac:dyDescent="0.45">
      <c r="A13" s="4"/>
      <c r="B13" s="5"/>
      <c r="C13" s="6"/>
      <c r="D13" s="1"/>
      <c r="E13" s="19" t="s">
        <v>23</v>
      </c>
      <c r="F13" s="29"/>
      <c r="G13" s="28"/>
      <c r="H13" s="1"/>
      <c r="I13" s="25"/>
      <c r="J13" s="27"/>
    </row>
    <row r="14" spans="1:10" ht="26.65" thickBot="1" x14ac:dyDescent="0.45">
      <c r="A14" s="4"/>
      <c r="B14" s="5"/>
      <c r="C14" s="6"/>
      <c r="D14" s="1"/>
      <c r="E14" s="19" t="s">
        <v>24</v>
      </c>
      <c r="F14" s="30" t="s">
        <v>158</v>
      </c>
      <c r="G14" s="31">
        <v>0.8</v>
      </c>
      <c r="H14" s="1"/>
      <c r="I14" s="25"/>
      <c r="J14" s="27"/>
    </row>
    <row r="15" spans="1:10" ht="16.149999999999999" thickBot="1" x14ac:dyDescent="0.45">
      <c r="A15" s="4"/>
      <c r="B15" s="5"/>
      <c r="C15" s="6"/>
      <c r="D15" s="1"/>
      <c r="E15" s="19" t="s">
        <v>25</v>
      </c>
      <c r="F15" s="20" t="s">
        <v>26</v>
      </c>
      <c r="G15" s="21">
        <v>1000</v>
      </c>
      <c r="H15" s="1"/>
      <c r="I15" s="25"/>
      <c r="J15" s="27"/>
    </row>
    <row r="16" spans="1:10" ht="16.149999999999999" thickBot="1" x14ac:dyDescent="0.45">
      <c r="A16" s="4"/>
      <c r="B16" s="5"/>
      <c r="C16" s="6"/>
      <c r="D16" s="1"/>
      <c r="E16" s="32" t="s">
        <v>27</v>
      </c>
      <c r="F16" s="20" t="s">
        <v>159</v>
      </c>
      <c r="G16" s="21">
        <v>1.19</v>
      </c>
      <c r="H16" s="1"/>
      <c r="I16" s="25"/>
      <c r="J16" s="27"/>
    </row>
    <row r="17" spans="1:10" ht="16.149999999999999" thickBot="1" x14ac:dyDescent="0.45">
      <c r="A17" s="4"/>
      <c r="B17" s="5"/>
      <c r="C17" s="6"/>
      <c r="D17" s="1"/>
      <c r="E17" s="33" t="s">
        <v>28</v>
      </c>
      <c r="F17" s="34" t="s">
        <v>160</v>
      </c>
      <c r="G17" s="21">
        <v>1.19</v>
      </c>
      <c r="H17" s="1"/>
      <c r="I17" s="50"/>
      <c r="J17" s="51"/>
    </row>
    <row r="18" spans="1:10" ht="16.149999999999999" thickBot="1" x14ac:dyDescent="0.45">
      <c r="A18" s="4"/>
      <c r="B18" s="5"/>
      <c r="C18" s="6"/>
      <c r="D18" s="1"/>
      <c r="E18" s="25"/>
      <c r="F18" s="26"/>
      <c r="G18" s="27"/>
      <c r="H18" s="1"/>
      <c r="I18" s="55"/>
      <c r="J18" s="56"/>
    </row>
    <row r="19" spans="1:10" ht="16.149999999999999" thickBot="1" x14ac:dyDescent="0.45">
      <c r="A19" s="4"/>
      <c r="B19" s="5"/>
      <c r="C19" s="6"/>
      <c r="D19" s="1"/>
      <c r="E19" s="35" t="s">
        <v>29</v>
      </c>
      <c r="F19" s="36" t="s">
        <v>30</v>
      </c>
      <c r="G19" s="46">
        <f ca="1">Gross_Premium</f>
        <v>637.33920027385614</v>
      </c>
      <c r="H19" s="1"/>
      <c r="I19" s="1"/>
      <c r="J19" s="1"/>
    </row>
    <row r="20" spans="1:10" ht="16.149999999999999" thickBot="1" x14ac:dyDescent="0.45">
      <c r="A20" s="4"/>
      <c r="B20" s="5"/>
      <c r="C20" s="6"/>
      <c r="D20" s="1"/>
      <c r="E20" s="1"/>
      <c r="F20" s="1"/>
      <c r="G20" s="3"/>
      <c r="H20" s="1"/>
      <c r="I20" s="1"/>
      <c r="J20" s="1"/>
    </row>
    <row r="21" spans="1:10" ht="16.149999999999999" thickBot="1" x14ac:dyDescent="0.45">
      <c r="A21" s="4"/>
      <c r="B21" s="5"/>
      <c r="C21" s="6"/>
      <c r="D21" s="1"/>
      <c r="E21" s="47" t="s">
        <v>161</v>
      </c>
      <c r="F21" s="1"/>
      <c r="G21" s="3"/>
      <c r="H21" s="1"/>
      <c r="I21" s="1"/>
      <c r="J21" s="1"/>
    </row>
    <row r="22" spans="1:10" ht="16.149999999999999" thickBot="1" x14ac:dyDescent="0.45">
      <c r="A22" s="4"/>
      <c r="B22" s="5"/>
      <c r="C22" s="6"/>
      <c r="D22" s="1"/>
      <c r="E22" s="1"/>
      <c r="F22" s="1"/>
      <c r="G22" s="3"/>
      <c r="H22" s="1"/>
      <c r="I22" s="1"/>
      <c r="J22" s="1"/>
    </row>
    <row r="23" spans="1:10" ht="16.149999999999999" thickBot="1" x14ac:dyDescent="0.45">
      <c r="A23" s="4"/>
      <c r="B23" s="5"/>
      <c r="C23" s="6"/>
      <c r="D23" s="1"/>
      <c r="E23" s="1"/>
      <c r="F23" s="1"/>
      <c r="G23" s="3"/>
      <c r="H23" s="1"/>
      <c r="I23" s="1"/>
      <c r="J23" s="1"/>
    </row>
    <row r="24" spans="1:10" ht="16.149999999999999" thickBot="1" x14ac:dyDescent="0.45">
      <c r="A24" s="4"/>
      <c r="B24" s="5"/>
      <c r="C24" s="6"/>
      <c r="D24" s="1"/>
      <c r="E24" s="1"/>
      <c r="F24" s="1"/>
      <c r="G24" s="3"/>
      <c r="H24" s="1"/>
      <c r="I24" s="1"/>
      <c r="J24" s="1"/>
    </row>
    <row r="25" spans="1:10" ht="16.149999999999999" thickBot="1" x14ac:dyDescent="0.45">
      <c r="A25" s="4"/>
      <c r="B25" s="5"/>
      <c r="C25" s="6"/>
      <c r="D25" s="1"/>
      <c r="E25" s="1"/>
      <c r="F25" s="1"/>
      <c r="G25" s="3"/>
      <c r="H25" s="1"/>
      <c r="I25" s="1"/>
      <c r="J25" s="1"/>
    </row>
    <row r="26" spans="1:10" ht="16.149999999999999" thickBot="1" x14ac:dyDescent="0.45">
      <c r="A26" s="4"/>
      <c r="B26" s="5"/>
      <c r="C26" s="6"/>
      <c r="D26" s="1"/>
      <c r="E26" s="1"/>
      <c r="F26" s="1"/>
      <c r="G26" s="3"/>
      <c r="H26" s="1"/>
      <c r="I26" s="1"/>
      <c r="J26" s="1"/>
    </row>
    <row r="27" spans="1:10" ht="16.149999999999999" thickBot="1" x14ac:dyDescent="0.45">
      <c r="A27" s="4"/>
      <c r="B27" s="5"/>
      <c r="C27" s="6"/>
      <c r="D27" s="1"/>
      <c r="E27" s="1"/>
      <c r="F27" s="1"/>
      <c r="G27" s="3"/>
      <c r="H27" s="1"/>
      <c r="I27" s="1"/>
      <c r="J27" s="1"/>
    </row>
    <row r="28" spans="1:10" ht="16.149999999999999" thickBot="1" x14ac:dyDescent="0.45">
      <c r="A28" s="4"/>
      <c r="B28" s="5"/>
      <c r="C28" s="6"/>
      <c r="D28" s="1"/>
      <c r="E28" s="1"/>
      <c r="F28" s="1"/>
      <c r="G28" s="3"/>
      <c r="H28" s="1"/>
      <c r="I28" s="1"/>
      <c r="J28" s="1"/>
    </row>
    <row r="29" spans="1:10" ht="16.149999999999999" thickBot="1" x14ac:dyDescent="0.45">
      <c r="A29" s="4"/>
      <c r="B29" s="5"/>
      <c r="C29" s="6"/>
      <c r="D29" s="1"/>
      <c r="E29" s="1"/>
      <c r="F29" s="1"/>
      <c r="G29" s="3"/>
      <c r="H29" s="1"/>
      <c r="I29" s="1"/>
      <c r="J29" s="1"/>
    </row>
    <row r="30" spans="1:10" ht="16.149999999999999" thickBot="1" x14ac:dyDescent="0.45">
      <c r="A30" s="4"/>
      <c r="B30" s="5"/>
      <c r="C30" s="6"/>
      <c r="D30" s="1"/>
      <c r="E30" s="1"/>
      <c r="F30" s="1"/>
      <c r="G30" s="3"/>
      <c r="H30" s="1"/>
      <c r="I30" s="1"/>
      <c r="J30" s="1"/>
    </row>
    <row r="31" spans="1:10" ht="16.149999999999999" thickBot="1" x14ac:dyDescent="0.45">
      <c r="A31" s="4"/>
      <c r="B31" s="5"/>
      <c r="C31" s="6"/>
      <c r="D31" s="1"/>
      <c r="E31" s="1"/>
      <c r="F31" s="1"/>
      <c r="G31" s="3"/>
      <c r="H31" s="1"/>
      <c r="I31" s="1"/>
      <c r="J31" s="1"/>
    </row>
    <row r="32" spans="1:10" ht="16.149999999999999" thickBot="1" x14ac:dyDescent="0.45">
      <c r="A32" s="4"/>
      <c r="B32" s="5"/>
      <c r="C32" s="6"/>
      <c r="D32" s="1"/>
      <c r="E32" s="1"/>
      <c r="F32" s="1"/>
      <c r="G32" s="3"/>
      <c r="H32" s="1"/>
      <c r="I32" s="1"/>
      <c r="J32" s="1"/>
    </row>
    <row r="33" spans="1:10" ht="16.149999999999999" thickBot="1" x14ac:dyDescent="0.45">
      <c r="A33" s="4"/>
      <c r="B33" s="5"/>
      <c r="C33" s="6"/>
      <c r="D33" s="1"/>
      <c r="E33" s="1"/>
      <c r="F33" s="1"/>
      <c r="G33" s="3"/>
      <c r="H33" s="1"/>
      <c r="I33" s="1"/>
      <c r="J33" s="1"/>
    </row>
    <row r="34" spans="1:10" ht="16.149999999999999" thickBot="1" x14ac:dyDescent="0.45">
      <c r="A34" s="4"/>
      <c r="B34" s="5"/>
      <c r="C34" s="6"/>
      <c r="D34" s="1"/>
      <c r="E34" s="1"/>
      <c r="F34" s="1"/>
      <c r="G34" s="3"/>
      <c r="H34" s="1"/>
      <c r="I34" s="1"/>
      <c r="J34" s="1"/>
    </row>
    <row r="35" spans="1:10" ht="16.149999999999999" thickBot="1" x14ac:dyDescent="0.45">
      <c r="A35" s="4"/>
      <c r="B35" s="5"/>
      <c r="C35" s="6"/>
      <c r="D35" s="1"/>
      <c r="E35" s="1"/>
      <c r="F35" s="1"/>
      <c r="G35" s="3"/>
      <c r="H35" s="1"/>
      <c r="I35" s="1"/>
      <c r="J35" s="1"/>
    </row>
    <row r="36" spans="1:10" ht="16.149999999999999" thickBot="1" x14ac:dyDescent="0.45">
      <c r="A36" s="4"/>
      <c r="B36" s="5"/>
      <c r="C36" s="6"/>
      <c r="D36" s="1"/>
      <c r="E36" s="1"/>
      <c r="F36" s="1"/>
      <c r="G36" s="3"/>
      <c r="H36" s="1"/>
      <c r="I36" s="1"/>
      <c r="J36" s="1"/>
    </row>
    <row r="37" spans="1:10" ht="16.149999999999999" thickBot="1" x14ac:dyDescent="0.45">
      <c r="A37" s="4"/>
      <c r="B37" s="5"/>
      <c r="C37" s="6"/>
      <c r="D37" s="1"/>
      <c r="E37" s="1"/>
      <c r="F37" s="1"/>
      <c r="G37" s="3"/>
      <c r="H37" s="1"/>
      <c r="I37" s="1"/>
      <c r="J37" s="1"/>
    </row>
    <row r="38" spans="1:10" ht="16.149999999999999" thickBot="1" x14ac:dyDescent="0.45">
      <c r="A38" s="4"/>
      <c r="B38" s="5"/>
      <c r="C38" s="6"/>
      <c r="D38" s="1"/>
      <c r="E38" s="1"/>
      <c r="F38" s="1"/>
      <c r="G38" s="3"/>
      <c r="H38" s="1"/>
      <c r="I38" s="1"/>
      <c r="J38" s="1"/>
    </row>
    <row r="39" spans="1:10" ht="16.149999999999999" thickBot="1" x14ac:dyDescent="0.45">
      <c r="A39" s="4"/>
      <c r="B39" s="5"/>
      <c r="C39" s="6"/>
      <c r="D39" s="1"/>
      <c r="E39" s="1"/>
      <c r="F39" s="1"/>
      <c r="G39" s="3"/>
      <c r="H39" s="1"/>
      <c r="I39" s="1"/>
      <c r="J39" s="1"/>
    </row>
    <row r="40" spans="1:10" ht="16.149999999999999" thickBot="1" x14ac:dyDescent="0.45">
      <c r="A40" s="4"/>
      <c r="B40" s="5"/>
      <c r="C40" s="6"/>
      <c r="D40" s="1"/>
      <c r="E40" s="1"/>
      <c r="F40" s="1"/>
      <c r="G40" s="3"/>
      <c r="H40" s="1"/>
      <c r="I40" s="1"/>
      <c r="J40" s="1"/>
    </row>
    <row r="41" spans="1:10" ht="16.149999999999999" thickBot="1" x14ac:dyDescent="0.45">
      <c r="A41" s="4"/>
      <c r="B41" s="5"/>
      <c r="C41" s="6"/>
      <c r="D41" s="1"/>
      <c r="E41" s="1"/>
      <c r="F41" s="1"/>
      <c r="G41" s="3"/>
      <c r="H41" s="1"/>
      <c r="I41" s="1"/>
      <c r="J41" s="1"/>
    </row>
    <row r="42" spans="1:10" ht="16.149999999999999" thickBot="1" x14ac:dyDescent="0.45">
      <c r="A42" s="7"/>
      <c r="B42" s="8"/>
      <c r="C42" s="9"/>
      <c r="D42" s="1"/>
      <c r="E42" s="1"/>
      <c r="F42" s="1"/>
      <c r="G42" s="3"/>
      <c r="H42" s="1"/>
      <c r="I42" s="1"/>
      <c r="J42" s="1"/>
    </row>
    <row r="43" spans="1:10" ht="16.149999999999999" thickBot="1" x14ac:dyDescent="0.45">
      <c r="A43" s="10"/>
      <c r="B43" s="11"/>
      <c r="C43" s="12"/>
      <c r="D43" s="1"/>
      <c r="E43" s="1"/>
      <c r="F43" s="1"/>
      <c r="G43" s="3"/>
      <c r="H43" s="1"/>
      <c r="I43" s="1"/>
      <c r="J43" s="1"/>
    </row>
  </sheetData>
  <mergeCells count="4">
    <mergeCell ref="A2:C2"/>
    <mergeCell ref="E2:G2"/>
    <mergeCell ref="I2:J2"/>
    <mergeCell ref="A3:C43"/>
  </mergeCells>
  <phoneticPr fontId="31" type="noConversion"/>
  <dataValidations count="5">
    <dataValidation type="list" allowBlank="1" showInputMessage="1" showErrorMessage="1" sqref="G3" xr:uid="{00000000-0002-0000-0000-000000000000}">
      <formula1>"0,1,2,3,4,5,6,7,8,9,10,11,12,13,14,15,16,17,18,19,20,21,22,23,24,25,26,27,28,29,30,31,32,33,34,35,36,37,38,39,40,41,42,43,44,45,46,47,48,49,50,51,52,53,54,55,56,57,58,59,60"</formula1>
    </dataValidation>
    <dataValidation type="list" allowBlank="1" showInputMessage="1" showErrorMessage="1" sqref="G4" xr:uid="{00000000-0002-0000-0000-000001000000}">
      <formula1>"M,F"</formula1>
    </dataValidation>
    <dataValidation type="list" allowBlank="1" showInputMessage="1" showErrorMessage="1" sqref="G6" xr:uid="{00000000-0002-0000-0000-000002000000}">
      <formula1>"60,65,70"</formula1>
    </dataValidation>
    <dataValidation type="list" allowBlank="1" showInputMessage="1" showErrorMessage="1" sqref="G9" xr:uid="{00000000-0002-0000-0000-000003000000}">
      <formula1>"1,10,20,21,22,23,24,25,26,27,28,29,30,31,32,33,34,35,36,37,38,39,40"</formula1>
    </dataValidation>
    <dataValidation type="list" allowBlank="1" showInputMessage="1" showErrorMessage="1" sqref="G8" xr:uid="{3FE35514-3FDE-0541-9348-644EEDCFBBAF}">
      <formula1>"60,65,70,75,80,85"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76"/>
  <sheetViews>
    <sheetView zoomScale="70" zoomScaleNormal="70" workbookViewId="0">
      <selection activeCell="T15" sqref="T15"/>
    </sheetView>
  </sheetViews>
  <sheetFormatPr defaultColWidth="9" defaultRowHeight="12.75" x14ac:dyDescent="0.35"/>
  <cols>
    <col min="1" max="1" width="3.6875" style="59" customWidth="1"/>
    <col min="2" max="2" width="8.6875" style="59" customWidth="1"/>
    <col min="3" max="4" width="7.8125" style="58" customWidth="1"/>
    <col min="5" max="5" width="7.6875" style="58" customWidth="1"/>
    <col min="6" max="7" width="7.3125" style="58" customWidth="1"/>
    <col min="8" max="8" width="7.1875" style="58" customWidth="1"/>
    <col min="9" max="9" width="6.5" style="58" customWidth="1"/>
    <col min="10" max="10" width="9.1875" style="59" customWidth="1"/>
    <col min="11" max="11" width="3.3125" style="58" customWidth="1"/>
    <col min="12" max="13" width="9.5" style="58" customWidth="1"/>
    <col min="14" max="14" width="7.1875" style="58" customWidth="1"/>
    <col min="15" max="15" width="9.5" style="58" customWidth="1"/>
    <col min="16" max="16" width="7" style="58" customWidth="1"/>
    <col min="17" max="16384" width="9" style="58"/>
  </cols>
  <sheetData>
    <row r="1" spans="1:23" ht="24.75" customHeight="1" x14ac:dyDescent="0.5">
      <c r="A1" s="81" t="s">
        <v>31</v>
      </c>
      <c r="B1" s="82"/>
      <c r="C1" s="82"/>
      <c r="D1" s="83"/>
      <c r="E1" s="57"/>
      <c r="F1" s="57"/>
      <c r="G1" s="57"/>
      <c r="H1" s="57"/>
    </row>
    <row r="3" spans="1:23" ht="0.75" customHeight="1" x14ac:dyDescent="0.35">
      <c r="A3" s="60"/>
      <c r="B3" s="61"/>
      <c r="C3" s="62" t="s">
        <v>32</v>
      </c>
      <c r="D3" s="63"/>
      <c r="E3" s="63"/>
      <c r="F3" s="63"/>
      <c r="G3" s="64"/>
      <c r="H3" s="65"/>
      <c r="I3" s="62" t="s">
        <v>33</v>
      </c>
      <c r="J3" s="61"/>
      <c r="K3" s="63"/>
      <c r="L3" s="63"/>
      <c r="M3" s="63"/>
      <c r="N3" s="63"/>
      <c r="O3" s="64"/>
      <c r="Q3" s="66" t="s">
        <v>34</v>
      </c>
      <c r="R3" s="67" t="s">
        <v>35</v>
      </c>
      <c r="S3" s="68"/>
      <c r="T3" s="67" t="s">
        <v>36</v>
      </c>
      <c r="U3" s="68"/>
      <c r="V3" s="67" t="s">
        <v>37</v>
      </c>
      <c r="W3" s="69"/>
    </row>
    <row r="4" spans="1:23" ht="15" customHeight="1" x14ac:dyDescent="0.4">
      <c r="A4" s="106"/>
      <c r="B4" s="107" t="e">
        <f>B6:H25</f>
        <v>#VALUE!</v>
      </c>
      <c r="C4" s="108" t="s">
        <v>38</v>
      </c>
      <c r="D4" s="108"/>
      <c r="E4" s="108"/>
      <c r="F4" s="108"/>
      <c r="G4" s="108"/>
      <c r="H4" s="109"/>
      <c r="J4" s="58"/>
      <c r="K4" s="106"/>
      <c r="L4" s="107" t="e">
        <f>L6:Q25</f>
        <v>#VALUE!</v>
      </c>
      <c r="M4" s="108" t="s">
        <v>39</v>
      </c>
      <c r="N4" s="108"/>
      <c r="O4" s="108"/>
      <c r="P4" s="108"/>
      <c r="Q4" s="109"/>
    </row>
    <row r="5" spans="1:23" x14ac:dyDescent="0.35">
      <c r="A5" s="101"/>
      <c r="B5" s="102" t="s">
        <v>17</v>
      </c>
      <c r="C5" s="103">
        <v>1</v>
      </c>
      <c r="D5" s="103">
        <v>2</v>
      </c>
      <c r="E5" s="103">
        <v>3</v>
      </c>
      <c r="F5" s="104" t="s">
        <v>40</v>
      </c>
      <c r="G5" s="103" t="s">
        <v>41</v>
      </c>
      <c r="H5" s="105" t="s">
        <v>42</v>
      </c>
      <c r="I5" s="70"/>
      <c r="J5" s="58"/>
      <c r="K5" s="101"/>
      <c r="L5" s="102" t="s">
        <v>17</v>
      </c>
      <c r="M5" s="103">
        <v>1</v>
      </c>
      <c r="N5" s="103">
        <v>2</v>
      </c>
      <c r="O5" s="103">
        <v>3</v>
      </c>
      <c r="P5" s="104" t="s">
        <v>43</v>
      </c>
      <c r="Q5" s="105" t="s">
        <v>42</v>
      </c>
      <c r="R5" s="70"/>
    </row>
    <row r="6" spans="1:23" x14ac:dyDescent="0.35">
      <c r="A6" s="96">
        <v>1</v>
      </c>
      <c r="B6" s="97">
        <v>1</v>
      </c>
      <c r="C6" s="98">
        <v>0.08</v>
      </c>
      <c r="D6" s="99"/>
      <c r="E6" s="99"/>
      <c r="F6" s="99"/>
      <c r="G6" s="99"/>
      <c r="H6" s="100"/>
      <c r="I6" s="72">
        <v>0</v>
      </c>
      <c r="J6" s="58"/>
      <c r="K6" s="96">
        <v>1</v>
      </c>
      <c r="L6" s="97">
        <v>1</v>
      </c>
      <c r="M6" s="98">
        <v>0.08</v>
      </c>
      <c r="N6" s="99"/>
      <c r="O6" s="99"/>
      <c r="P6" s="99"/>
      <c r="Q6" s="100"/>
      <c r="R6" s="72">
        <v>0</v>
      </c>
    </row>
    <row r="7" spans="1:23" ht="15" customHeight="1" x14ac:dyDescent="0.35">
      <c r="A7" s="84">
        <v>2</v>
      </c>
      <c r="B7" s="85">
        <v>2</v>
      </c>
      <c r="C7" s="86"/>
      <c r="D7" s="89"/>
      <c r="E7" s="89"/>
      <c r="F7" s="87"/>
      <c r="G7" s="87"/>
      <c r="H7" s="88"/>
      <c r="I7" s="73"/>
      <c r="J7" s="58"/>
      <c r="K7" s="84">
        <v>2</v>
      </c>
      <c r="L7" s="85">
        <v>2</v>
      </c>
      <c r="M7" s="86"/>
      <c r="N7" s="89"/>
      <c r="O7" s="89"/>
      <c r="P7" s="87"/>
      <c r="Q7" s="88"/>
      <c r="R7" s="73"/>
    </row>
    <row r="8" spans="1:23" ht="15" customHeight="1" x14ac:dyDescent="0.35">
      <c r="A8" s="84">
        <v>3</v>
      </c>
      <c r="B8" s="85">
        <v>3</v>
      </c>
      <c r="C8" s="86"/>
      <c r="D8" s="86"/>
      <c r="E8" s="86"/>
      <c r="F8" s="86"/>
      <c r="G8" s="86"/>
      <c r="H8" s="90"/>
      <c r="I8" s="74"/>
      <c r="J8" s="58"/>
      <c r="K8" s="84">
        <v>3</v>
      </c>
      <c r="L8" s="85">
        <v>3</v>
      </c>
      <c r="M8" s="86"/>
      <c r="N8" s="86"/>
      <c r="O8" s="86"/>
      <c r="P8" s="86"/>
      <c r="Q8" s="90"/>
      <c r="R8" s="74"/>
    </row>
    <row r="9" spans="1:23" ht="15.75" customHeight="1" x14ac:dyDescent="0.35">
      <c r="A9" s="84">
        <v>4</v>
      </c>
      <c r="B9" s="85">
        <v>4</v>
      </c>
      <c r="C9" s="86"/>
      <c r="D9" s="89"/>
      <c r="E9" s="89"/>
      <c r="F9" s="89"/>
      <c r="G9" s="89"/>
      <c r="H9" s="90"/>
      <c r="I9" s="74"/>
      <c r="J9" s="75"/>
      <c r="K9" s="84">
        <v>4</v>
      </c>
      <c r="L9" s="85">
        <v>4</v>
      </c>
      <c r="M9" s="86"/>
      <c r="N9" s="89"/>
      <c r="O9" s="89"/>
      <c r="P9" s="89"/>
      <c r="Q9" s="90"/>
      <c r="R9" s="74"/>
    </row>
    <row r="10" spans="1:23" x14ac:dyDescent="0.35">
      <c r="A10" s="84">
        <v>5</v>
      </c>
      <c r="B10" s="85">
        <v>5</v>
      </c>
      <c r="C10" s="86"/>
      <c r="D10" s="86"/>
      <c r="E10" s="86"/>
      <c r="F10" s="89"/>
      <c r="G10" s="89"/>
      <c r="H10" s="90"/>
      <c r="I10" s="74"/>
      <c r="J10" s="58"/>
      <c r="K10" s="84">
        <v>5</v>
      </c>
      <c r="L10" s="85">
        <v>5</v>
      </c>
      <c r="M10" s="86"/>
      <c r="N10" s="86"/>
      <c r="O10" s="86"/>
      <c r="P10" s="89"/>
      <c r="Q10" s="90"/>
      <c r="R10" s="74"/>
    </row>
    <row r="11" spans="1:23" x14ac:dyDescent="0.35">
      <c r="A11" s="84">
        <v>6</v>
      </c>
      <c r="B11" s="85">
        <v>6</v>
      </c>
      <c r="C11" s="86"/>
      <c r="D11" s="86"/>
      <c r="E11" s="86"/>
      <c r="F11" s="86"/>
      <c r="G11" s="86"/>
      <c r="H11" s="90"/>
      <c r="I11" s="72"/>
      <c r="J11" s="58"/>
      <c r="K11" s="84">
        <v>6</v>
      </c>
      <c r="L11" s="85">
        <v>6</v>
      </c>
      <c r="M11" s="86"/>
      <c r="N11" s="86"/>
      <c r="O11" s="86"/>
      <c r="P11" s="86"/>
      <c r="Q11" s="90"/>
      <c r="R11" s="72"/>
    </row>
    <row r="12" spans="1:23" x14ac:dyDescent="0.35">
      <c r="A12" s="84">
        <v>7</v>
      </c>
      <c r="B12" s="85">
        <v>7</v>
      </c>
      <c r="C12" s="86"/>
      <c r="D12" s="86"/>
      <c r="E12" s="86"/>
      <c r="F12" s="86"/>
      <c r="G12" s="86"/>
      <c r="H12" s="90"/>
      <c r="I12" s="72"/>
      <c r="J12" s="58"/>
      <c r="K12" s="84">
        <v>7</v>
      </c>
      <c r="L12" s="85">
        <v>7</v>
      </c>
      <c r="M12" s="86"/>
      <c r="N12" s="86"/>
      <c r="O12" s="86"/>
      <c r="P12" s="86"/>
      <c r="Q12" s="90"/>
      <c r="R12" s="72"/>
    </row>
    <row r="13" spans="1:23" x14ac:dyDescent="0.35">
      <c r="A13" s="84">
        <v>8</v>
      </c>
      <c r="B13" s="85">
        <v>8</v>
      </c>
      <c r="C13" s="86"/>
      <c r="D13" s="86"/>
      <c r="E13" s="86"/>
      <c r="F13" s="86"/>
      <c r="G13" s="86"/>
      <c r="H13" s="90"/>
      <c r="I13" s="74"/>
      <c r="J13" s="71"/>
      <c r="K13" s="84">
        <v>8</v>
      </c>
      <c r="L13" s="85">
        <v>8</v>
      </c>
      <c r="M13" s="86"/>
      <c r="N13" s="86"/>
      <c r="O13" s="86"/>
      <c r="P13" s="86"/>
      <c r="Q13" s="90"/>
      <c r="R13" s="74"/>
    </row>
    <row r="14" spans="1:23" x14ac:dyDescent="0.35">
      <c r="A14" s="84">
        <v>9</v>
      </c>
      <c r="B14" s="85">
        <v>9</v>
      </c>
      <c r="C14" s="86"/>
      <c r="D14" s="86"/>
      <c r="E14" s="86"/>
      <c r="F14" s="86"/>
      <c r="G14" s="86"/>
      <c r="H14" s="90"/>
      <c r="I14" s="74"/>
      <c r="J14" s="76"/>
      <c r="K14" s="84">
        <v>9</v>
      </c>
      <c r="L14" s="85">
        <v>9</v>
      </c>
      <c r="M14" s="86"/>
      <c r="N14" s="86"/>
      <c r="O14" s="86"/>
      <c r="P14" s="86"/>
      <c r="Q14" s="90"/>
      <c r="R14" s="74"/>
    </row>
    <row r="15" spans="1:23" x14ac:dyDescent="0.35">
      <c r="A15" s="84">
        <v>10</v>
      </c>
      <c r="B15" s="85">
        <v>10</v>
      </c>
      <c r="C15" s="86">
        <v>0.25</v>
      </c>
      <c r="D15" s="89">
        <v>0.15</v>
      </c>
      <c r="E15" s="89">
        <v>0.1</v>
      </c>
      <c r="F15" s="89">
        <v>0.08</v>
      </c>
      <c r="G15" s="89">
        <v>0.05</v>
      </c>
      <c r="H15" s="91"/>
      <c r="I15" s="74">
        <v>0</v>
      </c>
      <c r="J15" s="58"/>
      <c r="K15" s="84">
        <v>10</v>
      </c>
      <c r="L15" s="85">
        <v>10</v>
      </c>
      <c r="M15" s="86">
        <v>0.4</v>
      </c>
      <c r="N15" s="89">
        <v>0.25</v>
      </c>
      <c r="O15" s="89">
        <v>0.15</v>
      </c>
      <c r="P15" s="89">
        <v>0.1</v>
      </c>
      <c r="Q15" s="91"/>
      <c r="R15" s="74">
        <v>0</v>
      </c>
    </row>
    <row r="16" spans="1:23" ht="15" customHeight="1" x14ac:dyDescent="0.35">
      <c r="A16" s="84">
        <v>11</v>
      </c>
      <c r="B16" s="85">
        <v>11</v>
      </c>
      <c r="C16" s="86"/>
      <c r="D16" s="86"/>
      <c r="E16" s="86"/>
      <c r="F16" s="86"/>
      <c r="G16" s="86"/>
      <c r="H16" s="90"/>
      <c r="I16" s="72"/>
      <c r="J16" s="58"/>
      <c r="K16" s="84">
        <v>11</v>
      </c>
      <c r="L16" s="85">
        <v>11</v>
      </c>
      <c r="M16" s="86"/>
      <c r="N16" s="86"/>
      <c r="O16" s="86"/>
      <c r="P16" s="86"/>
      <c r="Q16" s="90"/>
      <c r="R16" s="72"/>
    </row>
    <row r="17" spans="1:18" ht="15.75" customHeight="1" x14ac:dyDescent="0.35">
      <c r="A17" s="84">
        <v>12</v>
      </c>
      <c r="B17" s="85">
        <v>12</v>
      </c>
      <c r="C17" s="86"/>
      <c r="D17" s="86"/>
      <c r="E17" s="86"/>
      <c r="F17" s="86"/>
      <c r="G17" s="86"/>
      <c r="H17" s="90"/>
      <c r="I17" s="72"/>
      <c r="J17" s="58"/>
      <c r="K17" s="84">
        <v>12</v>
      </c>
      <c r="L17" s="85">
        <v>12</v>
      </c>
      <c r="M17" s="86"/>
      <c r="N17" s="86"/>
      <c r="O17" s="86"/>
      <c r="P17" s="86"/>
      <c r="Q17" s="90"/>
      <c r="R17" s="72"/>
    </row>
    <row r="18" spans="1:18" x14ac:dyDescent="0.35">
      <c r="A18" s="84">
        <v>13</v>
      </c>
      <c r="B18" s="85">
        <v>13</v>
      </c>
      <c r="C18" s="86"/>
      <c r="D18" s="86"/>
      <c r="E18" s="86"/>
      <c r="F18" s="86"/>
      <c r="G18" s="86"/>
      <c r="H18" s="90"/>
      <c r="I18" s="72"/>
      <c r="J18" s="77"/>
      <c r="K18" s="84">
        <v>13</v>
      </c>
      <c r="L18" s="85">
        <v>13</v>
      </c>
      <c r="M18" s="86"/>
      <c r="N18" s="86"/>
      <c r="O18" s="86"/>
      <c r="P18" s="86"/>
      <c r="Q18" s="90"/>
      <c r="R18" s="72"/>
    </row>
    <row r="19" spans="1:18" x14ac:dyDescent="0.35">
      <c r="A19" s="84">
        <v>14</v>
      </c>
      <c r="B19" s="85">
        <v>14</v>
      </c>
      <c r="C19" s="86"/>
      <c r="D19" s="86"/>
      <c r="E19" s="86"/>
      <c r="F19" s="86"/>
      <c r="G19" s="86"/>
      <c r="H19" s="90"/>
      <c r="I19" s="72"/>
      <c r="J19" s="77"/>
      <c r="K19" s="84">
        <v>14</v>
      </c>
      <c r="L19" s="85">
        <v>14</v>
      </c>
      <c r="M19" s="86"/>
      <c r="N19" s="86"/>
      <c r="O19" s="86"/>
      <c r="P19" s="86"/>
      <c r="Q19" s="90"/>
      <c r="R19" s="72"/>
    </row>
    <row r="20" spans="1:18" x14ac:dyDescent="0.35">
      <c r="A20" s="84">
        <v>15</v>
      </c>
      <c r="B20" s="85">
        <v>15</v>
      </c>
      <c r="C20" s="89"/>
      <c r="D20" s="89"/>
      <c r="E20" s="89"/>
      <c r="F20" s="89"/>
      <c r="G20" s="89"/>
      <c r="H20" s="90"/>
      <c r="I20" s="74"/>
      <c r="J20" s="77"/>
      <c r="K20" s="84">
        <v>15</v>
      </c>
      <c r="L20" s="85">
        <v>15</v>
      </c>
      <c r="M20" s="89"/>
      <c r="N20" s="89"/>
      <c r="O20" s="89"/>
      <c r="P20" s="89"/>
      <c r="Q20" s="90"/>
      <c r="R20" s="74"/>
    </row>
    <row r="21" spans="1:18" ht="15.75" customHeight="1" x14ac:dyDescent="0.35">
      <c r="A21" s="84">
        <v>16</v>
      </c>
      <c r="B21" s="85">
        <v>16</v>
      </c>
      <c r="C21" s="86"/>
      <c r="D21" s="86"/>
      <c r="E21" s="86"/>
      <c r="F21" s="86"/>
      <c r="G21" s="86"/>
      <c r="H21" s="90"/>
      <c r="I21" s="74"/>
      <c r="K21" s="84">
        <v>16</v>
      </c>
      <c r="L21" s="85">
        <v>16</v>
      </c>
      <c r="M21" s="86"/>
      <c r="N21" s="86"/>
      <c r="O21" s="86"/>
      <c r="P21" s="86"/>
      <c r="Q21" s="90"/>
      <c r="R21" s="74"/>
    </row>
    <row r="22" spans="1:18" x14ac:dyDescent="0.35">
      <c r="A22" s="84">
        <v>17</v>
      </c>
      <c r="B22" s="85">
        <v>17</v>
      </c>
      <c r="C22" s="86"/>
      <c r="D22" s="86"/>
      <c r="E22" s="86"/>
      <c r="F22" s="86"/>
      <c r="G22" s="86"/>
      <c r="H22" s="90"/>
      <c r="I22" s="72"/>
      <c r="J22" s="58"/>
      <c r="K22" s="84">
        <v>17</v>
      </c>
      <c r="L22" s="85">
        <v>17</v>
      </c>
      <c r="M22" s="86"/>
      <c r="N22" s="86"/>
      <c r="O22" s="86"/>
      <c r="P22" s="86"/>
      <c r="Q22" s="90"/>
      <c r="R22" s="72"/>
    </row>
    <row r="23" spans="1:18" ht="15.75" customHeight="1" x14ac:dyDescent="0.35">
      <c r="A23" s="84">
        <v>18</v>
      </c>
      <c r="B23" s="85">
        <v>18</v>
      </c>
      <c r="C23" s="86"/>
      <c r="D23" s="86"/>
      <c r="E23" s="86"/>
      <c r="F23" s="86"/>
      <c r="G23" s="86"/>
      <c r="H23" s="90"/>
      <c r="I23" s="74"/>
      <c r="J23" s="58"/>
      <c r="K23" s="84">
        <v>18</v>
      </c>
      <c r="L23" s="85">
        <v>18</v>
      </c>
      <c r="M23" s="86"/>
      <c r="N23" s="86"/>
      <c r="O23" s="86"/>
      <c r="P23" s="86"/>
      <c r="Q23" s="90"/>
      <c r="R23" s="74"/>
    </row>
    <row r="24" spans="1:18" ht="15.75" customHeight="1" x14ac:dyDescent="0.35">
      <c r="A24" s="84">
        <v>19</v>
      </c>
      <c r="B24" s="85">
        <v>19</v>
      </c>
      <c r="C24" s="86"/>
      <c r="D24" s="86"/>
      <c r="E24" s="86"/>
      <c r="F24" s="86"/>
      <c r="G24" s="86"/>
      <c r="H24" s="90"/>
      <c r="I24" s="72"/>
      <c r="J24" s="58"/>
      <c r="K24" s="84">
        <v>19</v>
      </c>
      <c r="L24" s="85">
        <v>19</v>
      </c>
      <c r="M24" s="86"/>
      <c r="N24" s="86"/>
      <c r="O24" s="86"/>
      <c r="P24" s="86"/>
      <c r="Q24" s="90"/>
      <c r="R24" s="72"/>
    </row>
    <row r="25" spans="1:18" ht="15.75" customHeight="1" x14ac:dyDescent="0.35">
      <c r="A25" s="92">
        <v>20</v>
      </c>
      <c r="B25" s="93" t="s">
        <v>44</v>
      </c>
      <c r="C25" s="94">
        <v>0.3</v>
      </c>
      <c r="D25" s="94">
        <v>0.08</v>
      </c>
      <c r="E25" s="94">
        <v>0.08</v>
      </c>
      <c r="F25" s="94">
        <v>0.08</v>
      </c>
      <c r="G25" s="94">
        <v>0.05</v>
      </c>
      <c r="H25" s="95">
        <v>0.05</v>
      </c>
      <c r="I25" s="74">
        <v>0</v>
      </c>
      <c r="J25" s="58"/>
      <c r="K25" s="92">
        <v>20</v>
      </c>
      <c r="L25" s="93" t="s">
        <v>44</v>
      </c>
      <c r="M25" s="94">
        <v>0.45</v>
      </c>
      <c r="N25" s="94">
        <v>0.25</v>
      </c>
      <c r="O25" s="94">
        <v>0.15</v>
      </c>
      <c r="P25" s="94">
        <v>0.1</v>
      </c>
      <c r="Q25" s="95">
        <v>0.1</v>
      </c>
      <c r="R25" s="74">
        <v>0</v>
      </c>
    </row>
    <row r="26" spans="1:18" ht="12.75" hidden="1" customHeight="1" x14ac:dyDescent="0.35">
      <c r="A26" s="59">
        <v>21</v>
      </c>
      <c r="B26" s="77"/>
      <c r="C26" s="76"/>
      <c r="D26" s="76"/>
      <c r="E26" s="76"/>
      <c r="F26" s="76"/>
      <c r="G26" s="76"/>
      <c r="H26" s="58">
        <v>21</v>
      </c>
      <c r="J26" s="58"/>
    </row>
    <row r="27" spans="1:18" ht="12.75" hidden="1" customHeight="1" x14ac:dyDescent="0.35">
      <c r="A27" s="59">
        <v>22</v>
      </c>
      <c r="B27" s="77"/>
      <c r="C27" s="76"/>
      <c r="D27" s="76"/>
      <c r="E27" s="76"/>
      <c r="F27" s="76"/>
      <c r="G27" s="76"/>
      <c r="H27" s="58">
        <v>22</v>
      </c>
      <c r="J27" s="58"/>
    </row>
    <row r="28" spans="1:18" ht="12.75" hidden="1" customHeight="1" x14ac:dyDescent="0.35">
      <c r="A28" s="59">
        <v>23</v>
      </c>
      <c r="B28" s="77"/>
      <c r="C28" s="76"/>
      <c r="D28" s="76"/>
      <c r="E28" s="76"/>
      <c r="F28" s="76"/>
      <c r="G28" s="76"/>
      <c r="H28" s="58">
        <v>23</v>
      </c>
      <c r="J28" s="58"/>
    </row>
    <row r="29" spans="1:18" ht="12.75" hidden="1" customHeight="1" x14ac:dyDescent="0.35">
      <c r="A29" s="59">
        <v>24</v>
      </c>
      <c r="B29" s="77"/>
      <c r="C29" s="76"/>
      <c r="D29" s="76"/>
      <c r="E29" s="76"/>
      <c r="F29" s="76"/>
      <c r="G29" s="76"/>
      <c r="H29" s="58">
        <v>24</v>
      </c>
      <c r="J29" s="58"/>
    </row>
    <row r="30" spans="1:18" ht="12.75" hidden="1" customHeight="1" x14ac:dyDescent="0.35">
      <c r="A30" s="59">
        <v>25</v>
      </c>
      <c r="B30" s="77"/>
      <c r="C30" s="76"/>
      <c r="D30" s="76"/>
      <c r="E30" s="76"/>
      <c r="F30" s="76"/>
      <c r="G30" s="76"/>
      <c r="H30" s="58">
        <v>25</v>
      </c>
      <c r="J30" s="58"/>
    </row>
    <row r="31" spans="1:18" ht="12.75" hidden="1" customHeight="1" x14ac:dyDescent="0.35">
      <c r="A31" s="59">
        <v>26</v>
      </c>
      <c r="B31" s="77"/>
      <c r="C31" s="76"/>
      <c r="D31" s="76"/>
      <c r="E31" s="76"/>
      <c r="F31" s="76"/>
      <c r="G31" s="76"/>
      <c r="H31" s="58">
        <v>26</v>
      </c>
      <c r="J31" s="58"/>
    </row>
    <row r="32" spans="1:18" ht="12.75" hidden="1" customHeight="1" x14ac:dyDescent="0.35">
      <c r="A32" s="59">
        <v>27</v>
      </c>
      <c r="B32" s="77"/>
      <c r="C32" s="76"/>
      <c r="D32" s="76"/>
      <c r="E32" s="76"/>
      <c r="F32" s="76"/>
      <c r="G32" s="76"/>
      <c r="H32" s="58">
        <v>27</v>
      </c>
      <c r="J32" s="58"/>
    </row>
    <row r="33" spans="1:10" ht="12.75" hidden="1" customHeight="1" x14ac:dyDescent="0.35">
      <c r="A33" s="59">
        <v>28</v>
      </c>
      <c r="B33" s="77"/>
      <c r="C33" s="76"/>
      <c r="D33" s="76"/>
      <c r="E33" s="76"/>
      <c r="F33" s="76"/>
      <c r="G33" s="76"/>
      <c r="H33" s="58">
        <v>28</v>
      </c>
      <c r="J33" s="58"/>
    </row>
    <row r="34" spans="1:10" ht="12.75" hidden="1" customHeight="1" x14ac:dyDescent="0.35">
      <c r="A34" s="59">
        <v>29</v>
      </c>
      <c r="B34" s="77"/>
      <c r="C34" s="76"/>
      <c r="D34" s="76"/>
      <c r="E34" s="76"/>
      <c r="F34" s="76"/>
      <c r="G34" s="76"/>
      <c r="H34" s="58">
        <v>29</v>
      </c>
      <c r="J34" s="58"/>
    </row>
    <row r="35" spans="1:10" ht="12.75" hidden="1" customHeight="1" x14ac:dyDescent="0.35">
      <c r="A35" s="59">
        <v>30</v>
      </c>
      <c r="B35" s="77"/>
      <c r="C35" s="76"/>
      <c r="D35" s="76"/>
      <c r="E35" s="76"/>
      <c r="F35" s="76"/>
      <c r="G35" s="76"/>
      <c r="H35" s="58">
        <v>30</v>
      </c>
      <c r="I35" s="76"/>
      <c r="J35" s="58"/>
    </row>
    <row r="36" spans="1:10" ht="12.75" hidden="1" customHeight="1" x14ac:dyDescent="0.35">
      <c r="A36" s="59">
        <v>100</v>
      </c>
      <c r="B36" s="77"/>
      <c r="C36" s="76"/>
      <c r="D36" s="76"/>
      <c r="E36" s="76"/>
      <c r="F36" s="76"/>
      <c r="G36" s="76"/>
      <c r="H36" s="58">
        <v>31</v>
      </c>
      <c r="J36" s="58"/>
    </row>
    <row r="37" spans="1:10" ht="12.75" hidden="1" customHeight="1" x14ac:dyDescent="0.35">
      <c r="B37" s="77"/>
      <c r="C37" s="76"/>
      <c r="H37" s="58">
        <v>32</v>
      </c>
      <c r="J37" s="58"/>
    </row>
    <row r="38" spans="1:10" ht="12.75" hidden="1" customHeight="1" x14ac:dyDescent="0.35">
      <c r="B38" s="77"/>
      <c r="C38" s="76"/>
      <c r="H38" s="58">
        <v>33</v>
      </c>
      <c r="J38" s="58"/>
    </row>
    <row r="39" spans="1:10" ht="12.75" hidden="1" customHeight="1" x14ac:dyDescent="0.35">
      <c r="B39" s="77"/>
      <c r="C39" s="76"/>
      <c r="H39" s="58">
        <v>34</v>
      </c>
      <c r="J39" s="58"/>
    </row>
    <row r="40" spans="1:10" ht="12.75" hidden="1" customHeight="1" x14ac:dyDescent="0.35">
      <c r="A40" s="59">
        <v>1</v>
      </c>
      <c r="B40" s="77"/>
      <c r="C40" s="76"/>
      <c r="H40" s="58">
        <v>35</v>
      </c>
      <c r="J40" s="58"/>
    </row>
    <row r="41" spans="1:10" ht="12.75" hidden="1" customHeight="1" x14ac:dyDescent="0.35">
      <c r="A41" s="59">
        <v>2</v>
      </c>
      <c r="B41" s="77"/>
      <c r="C41" s="76"/>
      <c r="H41" s="58">
        <v>36</v>
      </c>
      <c r="J41" s="58"/>
    </row>
    <row r="42" spans="1:10" ht="12.75" hidden="1" customHeight="1" x14ac:dyDescent="0.35">
      <c r="B42" s="77"/>
      <c r="C42" s="76"/>
      <c r="H42" s="58">
        <v>37</v>
      </c>
      <c r="J42" s="58"/>
    </row>
    <row r="43" spans="1:10" ht="12.75" hidden="1" customHeight="1" x14ac:dyDescent="0.35">
      <c r="B43" s="77"/>
      <c r="C43" s="76"/>
      <c r="H43" s="58">
        <v>38</v>
      </c>
      <c r="J43" s="58"/>
    </row>
    <row r="44" spans="1:10" ht="12.75" hidden="1" customHeight="1" x14ac:dyDescent="0.35">
      <c r="B44" s="77"/>
      <c r="C44" s="76"/>
      <c r="H44" s="58">
        <v>39</v>
      </c>
      <c r="J44" s="58"/>
    </row>
    <row r="45" spans="1:10" ht="12.75" hidden="1" customHeight="1" x14ac:dyDescent="0.35">
      <c r="B45" s="77"/>
      <c r="C45" s="76"/>
      <c r="H45" s="58">
        <v>40</v>
      </c>
      <c r="J45" s="58"/>
    </row>
    <row r="46" spans="1:10" ht="12.75" hidden="1" customHeight="1" x14ac:dyDescent="0.35">
      <c r="B46" s="77"/>
      <c r="C46" s="76"/>
      <c r="H46" s="58">
        <v>41</v>
      </c>
      <c r="J46" s="58"/>
    </row>
    <row r="47" spans="1:10" ht="12.75" hidden="1" customHeight="1" x14ac:dyDescent="0.35">
      <c r="B47" s="77"/>
      <c r="C47" s="76"/>
      <c r="H47" s="58">
        <v>42</v>
      </c>
      <c r="J47" s="58"/>
    </row>
    <row r="48" spans="1:10" ht="12.75" hidden="1" customHeight="1" x14ac:dyDescent="0.35">
      <c r="B48" s="77"/>
      <c r="C48" s="76"/>
      <c r="H48" s="58">
        <v>43</v>
      </c>
      <c r="J48" s="58"/>
    </row>
    <row r="49" spans="2:10" ht="12.75" hidden="1" customHeight="1" x14ac:dyDescent="0.35">
      <c r="B49" s="77"/>
      <c r="C49" s="76"/>
      <c r="H49" s="58">
        <v>44</v>
      </c>
      <c r="J49" s="58"/>
    </row>
    <row r="50" spans="2:10" ht="12.75" hidden="1" customHeight="1" x14ac:dyDescent="0.35">
      <c r="B50" s="77"/>
      <c r="C50" s="76"/>
      <c r="H50" s="58">
        <v>45</v>
      </c>
      <c r="J50" s="58"/>
    </row>
    <row r="51" spans="2:10" ht="12.75" hidden="1" customHeight="1" x14ac:dyDescent="0.35">
      <c r="B51" s="77"/>
      <c r="C51" s="76"/>
      <c r="H51" s="58">
        <v>46</v>
      </c>
      <c r="J51" s="58"/>
    </row>
    <row r="52" spans="2:10" ht="12.75" hidden="1" customHeight="1" x14ac:dyDescent="0.35">
      <c r="B52" s="77"/>
      <c r="C52" s="76"/>
      <c r="H52" s="58">
        <v>47</v>
      </c>
      <c r="J52" s="58"/>
    </row>
    <row r="53" spans="2:10" ht="12.75" hidden="1" customHeight="1" x14ac:dyDescent="0.35">
      <c r="B53" s="77"/>
      <c r="C53" s="76"/>
      <c r="H53" s="58">
        <v>48</v>
      </c>
      <c r="J53" s="58"/>
    </row>
    <row r="54" spans="2:10" ht="12.75" hidden="1" customHeight="1" x14ac:dyDescent="0.35">
      <c r="B54" s="77"/>
      <c r="C54" s="76"/>
      <c r="H54" s="58">
        <v>49</v>
      </c>
      <c r="J54" s="58"/>
    </row>
    <row r="55" spans="2:10" ht="12.75" hidden="1" customHeight="1" x14ac:dyDescent="0.35">
      <c r="B55" s="77"/>
      <c r="C55" s="76"/>
      <c r="H55" s="58">
        <v>50</v>
      </c>
      <c r="J55" s="58"/>
    </row>
    <row r="56" spans="2:10" ht="12.75" hidden="1" customHeight="1" x14ac:dyDescent="0.35">
      <c r="B56" s="77"/>
      <c r="C56" s="76"/>
      <c r="H56" s="58">
        <v>51</v>
      </c>
      <c r="J56" s="58"/>
    </row>
    <row r="57" spans="2:10" ht="12.75" hidden="1" customHeight="1" x14ac:dyDescent="0.35">
      <c r="B57" s="77"/>
      <c r="C57" s="76"/>
      <c r="H57" s="58">
        <v>52</v>
      </c>
      <c r="J57" s="58"/>
    </row>
    <row r="58" spans="2:10" ht="12.75" hidden="1" customHeight="1" x14ac:dyDescent="0.35">
      <c r="B58" s="77"/>
      <c r="C58" s="76"/>
      <c r="H58" s="58">
        <v>53</v>
      </c>
      <c r="J58" s="58"/>
    </row>
    <row r="59" spans="2:10" ht="12.75" hidden="1" customHeight="1" x14ac:dyDescent="0.35">
      <c r="B59" s="77"/>
      <c r="C59" s="76"/>
      <c r="H59" s="58">
        <v>54</v>
      </c>
      <c r="J59" s="58"/>
    </row>
    <row r="60" spans="2:10" ht="12.75" hidden="1" customHeight="1" x14ac:dyDescent="0.35">
      <c r="B60" s="77"/>
      <c r="C60" s="76"/>
      <c r="H60" s="58">
        <v>55</v>
      </c>
      <c r="J60" s="58"/>
    </row>
    <row r="61" spans="2:10" ht="12.75" hidden="1" customHeight="1" x14ac:dyDescent="0.35">
      <c r="B61" s="77"/>
      <c r="C61" s="76"/>
      <c r="H61" s="58">
        <v>56</v>
      </c>
      <c r="J61" s="58"/>
    </row>
    <row r="62" spans="2:10" ht="12.75" hidden="1" customHeight="1" x14ac:dyDescent="0.35">
      <c r="B62" s="77"/>
      <c r="C62" s="76"/>
      <c r="H62" s="58">
        <v>57</v>
      </c>
      <c r="J62" s="58"/>
    </row>
    <row r="63" spans="2:10" ht="12.75" hidden="1" customHeight="1" x14ac:dyDescent="0.35">
      <c r="B63" s="77"/>
      <c r="C63" s="76"/>
      <c r="H63" s="58">
        <v>58</v>
      </c>
      <c r="J63" s="58"/>
    </row>
    <row r="64" spans="2:10" ht="12.75" hidden="1" customHeight="1" x14ac:dyDescent="0.35">
      <c r="B64" s="77"/>
      <c r="C64" s="76"/>
      <c r="H64" s="58">
        <v>59</v>
      </c>
      <c r="J64" s="58"/>
    </row>
    <row r="65" spans="2:10" ht="12.75" hidden="1" customHeight="1" x14ac:dyDescent="0.35">
      <c r="B65" s="77"/>
      <c r="C65" s="76"/>
      <c r="H65" s="58">
        <v>60</v>
      </c>
      <c r="J65" s="58"/>
    </row>
    <row r="66" spans="2:10" ht="12.75" hidden="1" customHeight="1" x14ac:dyDescent="0.35">
      <c r="J66" s="58"/>
    </row>
    <row r="67" spans="2:10" ht="14.25" hidden="1" customHeight="1" x14ac:dyDescent="0.35">
      <c r="B67" s="78"/>
      <c r="C67" s="78"/>
      <c r="D67" s="78"/>
      <c r="E67" s="78"/>
      <c r="F67" s="78"/>
      <c r="G67" s="78"/>
      <c r="H67" s="79"/>
      <c r="J67" s="58"/>
    </row>
    <row r="68" spans="2:10" ht="14.25" hidden="1" customHeight="1" x14ac:dyDescent="0.35">
      <c r="B68" s="80"/>
      <c r="C68" s="80"/>
      <c r="D68" s="80"/>
      <c r="E68" s="80"/>
      <c r="F68" s="80"/>
      <c r="G68" s="80"/>
      <c r="H68" s="79"/>
      <c r="J68" s="58"/>
    </row>
    <row r="69" spans="2:10" ht="13.5" x14ac:dyDescent="0.35">
      <c r="C69" s="80"/>
      <c r="D69" s="80"/>
      <c r="E69" s="78"/>
      <c r="F69" s="78"/>
      <c r="G69" s="78"/>
      <c r="H69" s="79"/>
      <c r="J69" s="58"/>
    </row>
    <row r="70" spans="2:10" ht="14.25" customHeight="1" x14ac:dyDescent="0.35">
      <c r="B70" s="58"/>
      <c r="J70" s="58"/>
    </row>
    <row r="71" spans="2:10" ht="13.5" x14ac:dyDescent="0.35">
      <c r="B71" s="58"/>
      <c r="D71" s="80"/>
      <c r="E71" s="80"/>
      <c r="F71" s="78"/>
      <c r="G71" s="78"/>
      <c r="H71" s="79"/>
    </row>
    <row r="72" spans="2:10" ht="13.5" x14ac:dyDescent="0.35">
      <c r="B72" s="58"/>
      <c r="D72" s="80"/>
      <c r="E72" s="80"/>
      <c r="F72" s="78"/>
      <c r="G72" s="78"/>
      <c r="H72" s="79"/>
    </row>
    <row r="73" spans="2:10" x14ac:dyDescent="0.35">
      <c r="B73" s="58"/>
      <c r="C73" s="76"/>
    </row>
    <row r="74" spans="2:10" x14ac:dyDescent="0.35">
      <c r="B74" s="58"/>
      <c r="C74" s="76"/>
      <c r="J74" s="58"/>
    </row>
    <row r="75" spans="2:10" x14ac:dyDescent="0.35">
      <c r="J75" s="58"/>
    </row>
    <row r="76" spans="2:10" x14ac:dyDescent="0.35">
      <c r="J76" s="58"/>
    </row>
  </sheetData>
  <mergeCells count="1">
    <mergeCell ref="A1:D1"/>
  </mergeCells>
  <phoneticPr fontId="31" type="noConversion"/>
  <pageMargins left="0.75" right="0.75" top="1" bottom="1" header="0.5" footer="0.5"/>
  <pageSetup paperSize="9" orientation="portrait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DSMT4" shapeId="1025" r:id="rId3">
          <objectPr defaultSize="0" altText="" r:id="rId4">
            <anchor moveWithCells="1" sizeWithCells="1">
              <from>
                <xdr:col>1</xdr:col>
                <xdr:colOff>0</xdr:colOff>
                <xdr:row>72</xdr:row>
                <xdr:rowOff>0</xdr:rowOff>
              </from>
              <to>
                <xdr:col>1</xdr:col>
                <xdr:colOff>166688</xdr:colOff>
                <xdr:row>72</xdr:row>
                <xdr:rowOff>0</xdr:rowOff>
              </to>
            </anchor>
          </objectPr>
        </oleObject>
      </mc:Choice>
      <mc:Fallback>
        <oleObject progId="Equation.DSMT4" shapeId="1025" r:id="rId3"/>
      </mc:Fallback>
    </mc:AlternateContent>
    <mc:AlternateContent xmlns:mc="http://schemas.openxmlformats.org/markup-compatibility/2006">
      <mc:Choice Requires="x14">
        <oleObject progId="Equation.DSMT4" shapeId="1026" r:id="rId5">
          <objectPr defaultSize="0" altText="" r:id="rId6">
            <anchor moveWithCells="1" sizeWithCells="1">
              <from>
                <xdr:col>2</xdr:col>
                <xdr:colOff>0</xdr:colOff>
                <xdr:row>72</xdr:row>
                <xdr:rowOff>0</xdr:rowOff>
              </from>
              <to>
                <xdr:col>2</xdr:col>
                <xdr:colOff>128588</xdr:colOff>
                <xdr:row>72</xdr:row>
                <xdr:rowOff>0</xdr:rowOff>
              </to>
            </anchor>
          </objectPr>
        </oleObject>
      </mc:Choice>
      <mc:Fallback>
        <oleObject progId="Equation.DSMT4" shapeId="1026" r:id="rId5"/>
      </mc:Fallback>
    </mc:AlternateContent>
    <mc:AlternateContent xmlns:mc="http://schemas.openxmlformats.org/markup-compatibility/2006">
      <mc:Choice Requires="x14">
        <oleObject progId="Equation.DSMT4" shapeId="1027" r:id="rId7">
          <objectPr defaultSize="0" altText="" r:id="rId4">
            <anchor moveWithCells="1" sizeWithCells="1">
              <from>
                <xdr:col>9</xdr:col>
                <xdr:colOff>0</xdr:colOff>
                <xdr:row>72</xdr:row>
                <xdr:rowOff>0</xdr:rowOff>
              </from>
              <to>
                <xdr:col>9</xdr:col>
                <xdr:colOff>166688</xdr:colOff>
                <xdr:row>72</xdr:row>
                <xdr:rowOff>0</xdr:rowOff>
              </to>
            </anchor>
          </objectPr>
        </oleObject>
      </mc:Choice>
      <mc:Fallback>
        <oleObject progId="Equation.DSMT4" shapeId="1027" r:id="rId7"/>
      </mc:Fallback>
    </mc:AlternateContent>
    <mc:AlternateContent xmlns:mc="http://schemas.openxmlformats.org/markup-compatibility/2006">
      <mc:Choice Requires="x14">
        <oleObject progId="Equation.DSMT4" shapeId="1028" r:id="rId8">
          <objectPr defaultSize="0" altText="" r:id="rId6">
            <anchor moveWithCells="1" sizeWithCells="1">
              <from>
                <xdr:col>10</xdr:col>
                <xdr:colOff>176213</xdr:colOff>
                <xdr:row>80</xdr:row>
                <xdr:rowOff>152400</xdr:rowOff>
              </from>
              <to>
                <xdr:col>10</xdr:col>
                <xdr:colOff>304800</xdr:colOff>
                <xdr:row>80</xdr:row>
                <xdr:rowOff>152400</xdr:rowOff>
              </to>
            </anchor>
          </objectPr>
        </oleObject>
      </mc:Choice>
      <mc:Fallback>
        <oleObject progId="Equation.DSMT4" shapeId="1028" r:id="rId8"/>
      </mc:Fallback>
    </mc:AlternateContent>
    <mc:AlternateContent xmlns:mc="http://schemas.openxmlformats.org/markup-compatibility/2006">
      <mc:Choice Requires="x14">
        <oleObject progId="Equation.DSMT4" shapeId="1029" r:id="rId9">
          <objectPr defaultSize="0" altText="" r:id="rId4">
            <anchor moveWithCells="1" sizeWithCells="1">
              <from>
                <xdr:col>1</xdr:col>
                <xdr:colOff>0</xdr:colOff>
                <xdr:row>18</xdr:row>
                <xdr:rowOff>0</xdr:rowOff>
              </from>
              <to>
                <xdr:col>1</xdr:col>
                <xdr:colOff>0</xdr:colOff>
                <xdr:row>18</xdr:row>
                <xdr:rowOff>0</xdr:rowOff>
              </to>
            </anchor>
          </objectPr>
        </oleObject>
      </mc:Choice>
      <mc:Fallback>
        <oleObject progId="Equation.DSMT4" shapeId="1029" r:id="rId9"/>
      </mc:Fallback>
    </mc:AlternateContent>
    <mc:AlternateContent xmlns:mc="http://schemas.openxmlformats.org/markup-compatibility/2006">
      <mc:Choice Requires="x14">
        <oleObject progId="Equation.DSMT4" shapeId="1030" r:id="rId10">
          <objectPr defaultSize="0" altText="" r:id="rId6">
            <anchor moveWithCells="1" sizeWithCells="1">
              <from>
                <xdr:col>1</xdr:col>
                <xdr:colOff>0</xdr:colOff>
                <xdr:row>18</xdr:row>
                <xdr:rowOff>0</xdr:rowOff>
              </from>
              <to>
                <xdr:col>1</xdr:col>
                <xdr:colOff>0</xdr:colOff>
                <xdr:row>18</xdr:row>
                <xdr:rowOff>0</xdr:rowOff>
              </to>
            </anchor>
          </objectPr>
        </oleObject>
      </mc:Choice>
      <mc:Fallback>
        <oleObject progId="Equation.DSMT4" shapeId="1030" r:id="rId10"/>
      </mc:Fallback>
    </mc:AlternateContent>
    <mc:AlternateContent xmlns:mc="http://schemas.openxmlformats.org/markup-compatibility/2006">
      <mc:Choice Requires="x14">
        <oleObject progId="Equation.DSMT4" shapeId="1031" r:id="rId11">
          <objectPr defaultSize="0" altText="" r:id="rId6">
            <anchor moveWithCells="1" siz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128588</xdr:colOff>
                <xdr:row>18</xdr:row>
                <xdr:rowOff>0</xdr:rowOff>
              </to>
            </anchor>
          </objectPr>
        </oleObject>
      </mc:Choice>
      <mc:Fallback>
        <oleObject progId="Equation.DSMT4" shapeId="1031" r:id="rId11"/>
      </mc:Fallback>
    </mc:AlternateContent>
    <mc:AlternateContent xmlns:mc="http://schemas.openxmlformats.org/markup-compatibility/2006">
      <mc:Choice Requires="x14">
        <oleObject progId="Equation.DSMT4" shapeId="1032" r:id="rId12">
          <objectPr defaultSize="0" altText="" r:id="rId6">
            <anchor moveWithCells="1" sizeWithCells="1">
              <from>
                <xdr:col>4</xdr:col>
                <xdr:colOff>0</xdr:colOff>
                <xdr:row>72</xdr:row>
                <xdr:rowOff>0</xdr:rowOff>
              </from>
              <to>
                <xdr:col>4</xdr:col>
                <xdr:colOff>128588</xdr:colOff>
                <xdr:row>72</xdr:row>
                <xdr:rowOff>0</xdr:rowOff>
              </to>
            </anchor>
          </objectPr>
        </oleObject>
      </mc:Choice>
      <mc:Fallback>
        <oleObject progId="Equation.DSMT4" shapeId="1032" r:id="rId12"/>
      </mc:Fallback>
    </mc:AlternateContent>
    <mc:AlternateContent xmlns:mc="http://schemas.openxmlformats.org/markup-compatibility/2006">
      <mc:Choice Requires="x14">
        <oleObject progId="Equation.DSMT4" shapeId="1033" r:id="rId13">
          <objectPr defaultSize="0" altText="" r:id="rId4">
            <anchor moveWithCells="1" sizeWithCells="1">
              <from>
                <xdr:col>12</xdr:col>
                <xdr:colOff>0</xdr:colOff>
                <xdr:row>18</xdr:row>
                <xdr:rowOff>0</xdr:rowOff>
              </from>
              <to>
                <xdr:col>12</xdr:col>
                <xdr:colOff>166688</xdr:colOff>
                <xdr:row>18</xdr:row>
                <xdr:rowOff>0</xdr:rowOff>
              </to>
            </anchor>
          </objectPr>
        </oleObject>
      </mc:Choice>
      <mc:Fallback>
        <oleObject progId="Equation.DSMT4" shapeId="1033" r:id="rId13"/>
      </mc:Fallback>
    </mc:AlternateContent>
    <mc:AlternateContent xmlns:mc="http://schemas.openxmlformats.org/markup-compatibility/2006">
      <mc:Choice Requires="x14">
        <oleObject progId="Equation.DSMT4" shapeId="1034" r:id="rId14">
          <objectPr defaultSize="0" altText="" r:id="rId6">
            <anchor moveWithCells="1" sizeWithCells="1">
              <from>
                <xdr:col>13</xdr:col>
                <xdr:colOff>0</xdr:colOff>
                <xdr:row>18</xdr:row>
                <xdr:rowOff>0</xdr:rowOff>
              </from>
              <to>
                <xdr:col>13</xdr:col>
                <xdr:colOff>128588</xdr:colOff>
                <xdr:row>18</xdr:row>
                <xdr:rowOff>0</xdr:rowOff>
              </to>
            </anchor>
          </objectPr>
        </oleObject>
      </mc:Choice>
      <mc:Fallback>
        <oleObject progId="Equation.DSMT4" shapeId="1034" r:id="rId14"/>
      </mc:Fallback>
    </mc:AlternateContent>
    <mc:AlternateContent xmlns:mc="http://schemas.openxmlformats.org/markup-compatibility/2006">
      <mc:Choice Requires="x14">
        <oleObject progId="Equation.DSMT4" shapeId="1043" r:id="rId15">
          <objectPr defaultSize="0" altText="" r:id="rId4">
            <anchor moveWithCells="1" sizeWithCells="1">
              <from>
                <xdr:col>1</xdr:col>
                <xdr:colOff>0</xdr:colOff>
                <xdr:row>18</xdr:row>
                <xdr:rowOff>0</xdr:rowOff>
              </from>
              <to>
                <xdr:col>1</xdr:col>
                <xdr:colOff>0</xdr:colOff>
                <xdr:row>18</xdr:row>
                <xdr:rowOff>0</xdr:rowOff>
              </to>
            </anchor>
          </objectPr>
        </oleObject>
      </mc:Choice>
      <mc:Fallback>
        <oleObject progId="Equation.DSMT4" shapeId="1043" r:id="rId15"/>
      </mc:Fallback>
    </mc:AlternateContent>
    <mc:AlternateContent xmlns:mc="http://schemas.openxmlformats.org/markup-compatibility/2006">
      <mc:Choice Requires="x14">
        <oleObject progId="Equation.DSMT4" shapeId="1044" r:id="rId16">
          <objectPr defaultSize="0" altText="" r:id="rId6">
            <anchor moveWithCells="1" sizeWithCells="1">
              <from>
                <xdr:col>1</xdr:col>
                <xdr:colOff>0</xdr:colOff>
                <xdr:row>18</xdr:row>
                <xdr:rowOff>0</xdr:rowOff>
              </from>
              <to>
                <xdr:col>1</xdr:col>
                <xdr:colOff>0</xdr:colOff>
                <xdr:row>18</xdr:row>
                <xdr:rowOff>0</xdr:rowOff>
              </to>
            </anchor>
          </objectPr>
        </oleObject>
      </mc:Choice>
      <mc:Fallback>
        <oleObject progId="Equation.DSMT4" shapeId="1044" r:id="rId16"/>
      </mc:Fallback>
    </mc:AlternateContent>
    <mc:AlternateContent xmlns:mc="http://schemas.openxmlformats.org/markup-compatibility/2006">
      <mc:Choice Requires="x14">
        <oleObject progId="Equation.DSMT4" shapeId="1045" r:id="rId17">
          <objectPr defaultSize="0" altText="" r:id="rId6">
            <anchor moveWithCells="1" siz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138113</xdr:colOff>
                <xdr:row>18</xdr:row>
                <xdr:rowOff>0</xdr:rowOff>
              </to>
            </anchor>
          </objectPr>
        </oleObject>
      </mc:Choice>
      <mc:Fallback>
        <oleObject progId="Equation.DSMT4" shapeId="1045" r:id="rId17"/>
      </mc:Fallback>
    </mc:AlternateContent>
    <mc:AlternateContent xmlns:mc="http://schemas.openxmlformats.org/markup-compatibility/2006">
      <mc:Choice Requires="x14">
        <oleObject progId="Equation.DSMT4" shapeId="1046" r:id="rId18">
          <objectPr defaultSize="0" altText="" r:id="rId4">
            <anchor moveWithCells="1" sizeWithCells="1">
              <from>
                <xdr:col>12</xdr:col>
                <xdr:colOff>0</xdr:colOff>
                <xdr:row>18</xdr:row>
                <xdr:rowOff>0</xdr:rowOff>
              </from>
              <to>
                <xdr:col>12</xdr:col>
                <xdr:colOff>176213</xdr:colOff>
                <xdr:row>18</xdr:row>
                <xdr:rowOff>0</xdr:rowOff>
              </to>
            </anchor>
          </objectPr>
        </oleObject>
      </mc:Choice>
      <mc:Fallback>
        <oleObject progId="Equation.DSMT4" shapeId="1046" r:id="rId18"/>
      </mc:Fallback>
    </mc:AlternateContent>
    <mc:AlternateContent xmlns:mc="http://schemas.openxmlformats.org/markup-compatibility/2006">
      <mc:Choice Requires="x14">
        <oleObject progId="Equation.DSMT4" shapeId="1047" r:id="rId19">
          <objectPr defaultSize="0" altText="" r:id="rId6">
            <anchor moveWithCells="1" sizeWithCells="1">
              <from>
                <xdr:col>13</xdr:col>
                <xdr:colOff>0</xdr:colOff>
                <xdr:row>18</xdr:row>
                <xdr:rowOff>0</xdr:rowOff>
              </from>
              <to>
                <xdr:col>13</xdr:col>
                <xdr:colOff>138113</xdr:colOff>
                <xdr:row>18</xdr:row>
                <xdr:rowOff>0</xdr:rowOff>
              </to>
            </anchor>
          </objectPr>
        </oleObject>
      </mc:Choice>
      <mc:Fallback>
        <oleObject progId="Equation.DSMT4" shapeId="1047" r:id="rId19"/>
      </mc:Fallback>
    </mc:AlternateContent>
    <mc:AlternateContent xmlns:mc="http://schemas.openxmlformats.org/markup-compatibility/2006">
      <mc:Choice Requires="x14">
        <oleObject progId="Equation.DSMT4" shapeId="1048" r:id="rId20">
          <objectPr defaultSize="0" altText="" r:id="rId4">
            <anchor moveWithCells="1" sizeWithCells="1">
              <from>
                <xdr:col>11</xdr:col>
                <xdr:colOff>0</xdr:colOff>
                <xdr:row>18</xdr:row>
                <xdr:rowOff>0</xdr:rowOff>
              </from>
              <to>
                <xdr:col>11</xdr:col>
                <xdr:colOff>0</xdr:colOff>
                <xdr:row>18</xdr:row>
                <xdr:rowOff>0</xdr:rowOff>
              </to>
            </anchor>
          </objectPr>
        </oleObject>
      </mc:Choice>
      <mc:Fallback>
        <oleObject progId="Equation.DSMT4" shapeId="1048" r:id="rId20"/>
      </mc:Fallback>
    </mc:AlternateContent>
    <mc:AlternateContent xmlns:mc="http://schemas.openxmlformats.org/markup-compatibility/2006">
      <mc:Choice Requires="x14">
        <oleObject progId="Equation.DSMT4" shapeId="1049" r:id="rId21">
          <objectPr defaultSize="0" altText="" r:id="rId6">
            <anchor moveWithCells="1" sizeWithCells="1">
              <from>
                <xdr:col>11</xdr:col>
                <xdr:colOff>0</xdr:colOff>
                <xdr:row>18</xdr:row>
                <xdr:rowOff>0</xdr:rowOff>
              </from>
              <to>
                <xdr:col>11</xdr:col>
                <xdr:colOff>0</xdr:colOff>
                <xdr:row>18</xdr:row>
                <xdr:rowOff>0</xdr:rowOff>
              </to>
            </anchor>
          </objectPr>
        </oleObject>
      </mc:Choice>
      <mc:Fallback>
        <oleObject progId="Equation.DSMT4" shapeId="1049" r:id="rId21"/>
      </mc:Fallback>
    </mc:AlternateContent>
    <mc:AlternateContent xmlns:mc="http://schemas.openxmlformats.org/markup-compatibility/2006">
      <mc:Choice Requires="x14">
        <oleObject progId="Equation.DSMT4" shapeId="1050" r:id="rId22">
          <objectPr defaultSize="0" altText="" r:id="rId6">
            <anchor moveWithCells="1" sizeWithCells="1">
              <from>
                <xdr:col>14</xdr:col>
                <xdr:colOff>0</xdr:colOff>
                <xdr:row>18</xdr:row>
                <xdr:rowOff>0</xdr:rowOff>
              </from>
              <to>
                <xdr:col>14</xdr:col>
                <xdr:colOff>138113</xdr:colOff>
                <xdr:row>18</xdr:row>
                <xdr:rowOff>0</xdr:rowOff>
              </to>
            </anchor>
          </objectPr>
        </oleObject>
      </mc:Choice>
      <mc:Fallback>
        <oleObject progId="Equation.DSMT4" shapeId="1050" r:id="rId22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15"/>
  <sheetViews>
    <sheetView zoomScale="55" zoomScaleNormal="55" workbookViewId="0">
      <selection activeCell="K11" sqref="K11"/>
    </sheetView>
  </sheetViews>
  <sheetFormatPr defaultColWidth="13" defaultRowHeight="12.75" x14ac:dyDescent="0.35"/>
  <cols>
    <col min="1" max="1" width="6.1875" style="110" customWidth="1"/>
    <col min="2" max="2" width="7.6875" style="110" customWidth="1"/>
    <col min="3" max="3" width="7.1875" style="110" customWidth="1"/>
    <col min="4" max="5" width="8.25" style="110" bestFit="1" customWidth="1"/>
    <col min="6" max="9" width="8.1875" style="110" customWidth="1"/>
    <col min="10" max="16384" width="13" style="110"/>
  </cols>
  <sheetData>
    <row r="1" spans="1:9" ht="21" customHeight="1" x14ac:dyDescent="0.5">
      <c r="B1" s="112" t="s">
        <v>45</v>
      </c>
      <c r="C1" s="113"/>
      <c r="D1" s="113"/>
      <c r="E1" s="113"/>
      <c r="F1" s="114"/>
    </row>
    <row r="3" spans="1:9" x14ac:dyDescent="0.35">
      <c r="B3" s="110" t="s">
        <v>46</v>
      </c>
    </row>
    <row r="4" spans="1:9" ht="13.15" thickBot="1" x14ac:dyDescent="0.4"/>
    <row r="5" spans="1:9" ht="15" customHeight="1" x14ac:dyDescent="0.5">
      <c r="A5" s="144"/>
      <c r="B5" s="145" t="s">
        <v>47</v>
      </c>
      <c r="C5" s="146"/>
      <c r="D5" s="146"/>
      <c r="E5" s="146"/>
      <c r="F5" s="146"/>
      <c r="G5" s="146"/>
      <c r="H5" s="146"/>
      <c r="I5" s="147"/>
    </row>
    <row r="6" spans="1:9" ht="24.75" customHeight="1" x14ac:dyDescent="0.35">
      <c r="A6" s="134"/>
      <c r="B6" s="135" t="s">
        <v>51</v>
      </c>
      <c r="C6" s="136"/>
      <c r="D6" s="135" t="s">
        <v>52</v>
      </c>
      <c r="E6" s="136"/>
      <c r="F6" s="135" t="s">
        <v>53</v>
      </c>
      <c r="G6" s="136"/>
      <c r="H6" s="135" t="s">
        <v>54</v>
      </c>
      <c r="I6" s="137"/>
    </row>
    <row r="7" spans="1:9" s="111" customFormat="1" ht="24.75" customHeight="1" x14ac:dyDescent="0.4">
      <c r="A7" s="134" t="s">
        <v>55</v>
      </c>
      <c r="B7" s="135" t="s">
        <v>48</v>
      </c>
      <c r="C7" s="136"/>
      <c r="D7" s="135" t="s">
        <v>49</v>
      </c>
      <c r="E7" s="136"/>
      <c r="F7" s="135" t="s">
        <v>50</v>
      </c>
      <c r="G7" s="136"/>
      <c r="H7" s="135" t="s">
        <v>56</v>
      </c>
      <c r="I7" s="137"/>
    </row>
    <row r="8" spans="1:9" ht="16.5" customHeight="1" x14ac:dyDescent="0.4">
      <c r="A8" s="138"/>
      <c r="B8" s="139" t="s">
        <v>58</v>
      </c>
      <c r="C8" s="139" t="s">
        <v>59</v>
      </c>
      <c r="D8" s="139" t="s">
        <v>58</v>
      </c>
      <c r="E8" s="139" t="s">
        <v>59</v>
      </c>
      <c r="F8" s="139" t="s">
        <v>58</v>
      </c>
      <c r="G8" s="139" t="s">
        <v>59</v>
      </c>
      <c r="H8" s="139" t="s">
        <v>58</v>
      </c>
      <c r="I8" s="140" t="s">
        <v>59</v>
      </c>
    </row>
    <row r="9" spans="1:9" ht="16.5" customHeight="1" x14ac:dyDescent="0.4">
      <c r="A9" s="141" t="s">
        <v>57</v>
      </c>
      <c r="B9" s="142" t="str">
        <f>B6&amp;"-1"</f>
        <v>CL1-1</v>
      </c>
      <c r="C9" s="142" t="str">
        <f>B6&amp;"-2"</f>
        <v>CL1-2</v>
      </c>
      <c r="D9" s="142" t="str">
        <f>D6&amp;"-1"</f>
        <v>CL2-1</v>
      </c>
      <c r="E9" s="142" t="str">
        <f>D6&amp;"-2"</f>
        <v>CL2-2</v>
      </c>
      <c r="F9" s="142" t="str">
        <f>F6&amp;"-1"</f>
        <v>CL3-1</v>
      </c>
      <c r="G9" s="142" t="str">
        <f>F6&amp;"-2"</f>
        <v>CL3-2</v>
      </c>
      <c r="H9" s="142" t="str">
        <f>H6&amp;"-1"</f>
        <v>CL4-1</v>
      </c>
      <c r="I9" s="143" t="str">
        <f>H6&amp;"-2"</f>
        <v>CL4-2</v>
      </c>
    </row>
    <row r="10" spans="1:9" ht="15.75" x14ac:dyDescent="0.4">
      <c r="A10" s="129">
        <v>0</v>
      </c>
      <c r="B10" s="130">
        <v>0.20399999999999999</v>
      </c>
      <c r="C10" s="130">
        <v>0.16200000000000001</v>
      </c>
      <c r="D10" s="130">
        <v>0.31900000000000001</v>
      </c>
      <c r="E10" s="130">
        <v>0.29299999999999998</v>
      </c>
      <c r="F10" s="131">
        <v>0.23300000000000001</v>
      </c>
      <c r="G10" s="131">
        <v>0.19500000000000001</v>
      </c>
      <c r="H10" s="132">
        <v>0.252</v>
      </c>
      <c r="I10" s="133">
        <v>0.222</v>
      </c>
    </row>
    <row r="11" spans="1:9" ht="15.75" x14ac:dyDescent="0.4">
      <c r="A11" s="115">
        <v>1</v>
      </c>
      <c r="B11" s="116">
        <v>0.16700000000000001</v>
      </c>
      <c r="C11" s="116">
        <v>0.127</v>
      </c>
      <c r="D11" s="116">
        <v>0.253</v>
      </c>
      <c r="E11" s="116">
        <v>0.21299999999999999</v>
      </c>
      <c r="F11" s="117">
        <v>0.19400000000000001</v>
      </c>
      <c r="G11" s="117">
        <v>0.14799999999999999</v>
      </c>
      <c r="H11" s="118">
        <v>0.20599999999999999</v>
      </c>
      <c r="I11" s="119">
        <v>0.16400000000000001</v>
      </c>
    </row>
    <row r="12" spans="1:9" ht="15.75" x14ac:dyDescent="0.4">
      <c r="A12" s="115">
        <v>2</v>
      </c>
      <c r="B12" s="116">
        <v>0.13800000000000001</v>
      </c>
      <c r="C12" s="116">
        <v>0.1</v>
      </c>
      <c r="D12" s="116">
        <v>0.20100000000000001</v>
      </c>
      <c r="E12" s="116">
        <v>0.156</v>
      </c>
      <c r="F12" s="117">
        <v>0.16</v>
      </c>
      <c r="G12" s="117">
        <v>0.113</v>
      </c>
      <c r="H12" s="118">
        <v>0.16700000000000001</v>
      </c>
      <c r="I12" s="119">
        <v>0.122</v>
      </c>
    </row>
    <row r="13" spans="1:9" ht="15.75" x14ac:dyDescent="0.4">
      <c r="A13" s="115">
        <v>3</v>
      </c>
      <c r="B13" s="116">
        <v>0.115</v>
      </c>
      <c r="C13" s="116">
        <v>0.08</v>
      </c>
      <c r="D13" s="116">
        <v>0.16</v>
      </c>
      <c r="E13" s="116">
        <v>0.11700000000000001</v>
      </c>
      <c r="F13" s="117">
        <v>0.13100000000000001</v>
      </c>
      <c r="G13" s="117">
        <v>8.8999999999999996E-2</v>
      </c>
      <c r="H13" s="118">
        <v>0.13600000000000001</v>
      </c>
      <c r="I13" s="119">
        <v>9.2999999999999999E-2</v>
      </c>
    </row>
    <row r="14" spans="1:9" ht="15.75" x14ac:dyDescent="0.4">
      <c r="A14" s="115">
        <v>4</v>
      </c>
      <c r="B14" s="116">
        <v>9.7000000000000003E-2</v>
      </c>
      <c r="C14" s="116">
        <v>6.6000000000000003E-2</v>
      </c>
      <c r="D14" s="116">
        <v>0.13</v>
      </c>
      <c r="E14" s="116">
        <v>9.1999999999999998E-2</v>
      </c>
      <c r="F14" s="117">
        <v>0.108</v>
      </c>
      <c r="G14" s="117">
        <v>7.1999999999999995E-2</v>
      </c>
      <c r="H14" s="118">
        <v>0.111</v>
      </c>
      <c r="I14" s="119">
        <v>7.4999999999999997E-2</v>
      </c>
    </row>
    <row r="15" spans="1:9" ht="15.75" x14ac:dyDescent="0.4">
      <c r="A15" s="115">
        <v>5</v>
      </c>
      <c r="B15" s="116">
        <v>8.3000000000000004E-2</v>
      </c>
      <c r="C15" s="116">
        <v>5.7000000000000002E-2</v>
      </c>
      <c r="D15" s="116">
        <v>0.11</v>
      </c>
      <c r="E15" s="116">
        <v>7.8E-2</v>
      </c>
      <c r="F15" s="117">
        <v>9.1999999999999998E-2</v>
      </c>
      <c r="G15" s="117">
        <v>6.3E-2</v>
      </c>
      <c r="H15" s="118">
        <v>9.4E-2</v>
      </c>
      <c r="I15" s="119">
        <v>6.4000000000000001E-2</v>
      </c>
    </row>
    <row r="16" spans="1:9" ht="15.75" x14ac:dyDescent="0.4">
      <c r="A16" s="115">
        <v>6</v>
      </c>
      <c r="B16" s="116">
        <v>7.4999999999999997E-2</v>
      </c>
      <c r="C16" s="116">
        <v>5.0999999999999997E-2</v>
      </c>
      <c r="D16" s="116">
        <v>9.9000000000000005E-2</v>
      </c>
      <c r="E16" s="116">
        <v>7.1999999999999995E-2</v>
      </c>
      <c r="F16" s="117">
        <v>8.2000000000000003E-2</v>
      </c>
      <c r="G16" s="117">
        <v>5.8000000000000003E-2</v>
      </c>
      <c r="H16" s="118">
        <v>8.5000000000000006E-2</v>
      </c>
      <c r="I16" s="119">
        <v>0.06</v>
      </c>
    </row>
    <row r="17" spans="1:9" ht="15.75" x14ac:dyDescent="0.4">
      <c r="A17" s="115">
        <v>7</v>
      </c>
      <c r="B17" s="116">
        <v>7.0000000000000007E-2</v>
      </c>
      <c r="C17" s="116">
        <v>4.9000000000000002E-2</v>
      </c>
      <c r="D17" s="116">
        <v>9.6000000000000002E-2</v>
      </c>
      <c r="E17" s="116">
        <v>7.2999999999999995E-2</v>
      </c>
      <c r="F17" s="117">
        <v>0.08</v>
      </c>
      <c r="G17" s="117">
        <v>5.8999999999999997E-2</v>
      </c>
      <c r="H17" s="118">
        <v>8.2000000000000003E-2</v>
      </c>
      <c r="I17" s="119">
        <v>6.0999999999999999E-2</v>
      </c>
    </row>
    <row r="18" spans="1:9" ht="15.75" x14ac:dyDescent="0.4">
      <c r="A18" s="115">
        <v>8</v>
      </c>
      <c r="B18" s="116">
        <v>6.9000000000000006E-2</v>
      </c>
      <c r="C18" s="116">
        <v>4.9000000000000002E-2</v>
      </c>
      <c r="D18" s="116">
        <v>0.1</v>
      </c>
      <c r="E18" s="116">
        <v>7.8E-2</v>
      </c>
      <c r="F18" s="117">
        <v>8.4000000000000005E-2</v>
      </c>
      <c r="G18" s="117">
        <v>6.2E-2</v>
      </c>
      <c r="H18" s="118">
        <v>8.6999999999999994E-2</v>
      </c>
      <c r="I18" s="119">
        <v>6.5000000000000002E-2</v>
      </c>
    </row>
    <row r="19" spans="1:9" ht="15.75" x14ac:dyDescent="0.4">
      <c r="A19" s="115">
        <v>9</v>
      </c>
      <c r="B19" s="116">
        <v>7.0999999999999994E-2</v>
      </c>
      <c r="C19" s="116">
        <v>0.05</v>
      </c>
      <c r="D19" s="116">
        <v>0.111</v>
      </c>
      <c r="E19" s="116">
        <v>8.6999999999999994E-2</v>
      </c>
      <c r="F19" s="117">
        <v>9.4E-2</v>
      </c>
      <c r="G19" s="117">
        <v>6.8000000000000005E-2</v>
      </c>
      <c r="H19" s="118">
        <v>9.7000000000000003E-2</v>
      </c>
      <c r="I19" s="119">
        <v>7.0999999999999994E-2</v>
      </c>
    </row>
    <row r="20" spans="1:9" ht="15.75" x14ac:dyDescent="0.4">
      <c r="A20" s="115">
        <v>10</v>
      </c>
      <c r="B20" s="116">
        <v>7.6999999999999999E-2</v>
      </c>
      <c r="C20" s="116">
        <v>5.3999999999999999E-2</v>
      </c>
      <c r="D20" s="116">
        <v>0.129</v>
      </c>
      <c r="E20" s="116">
        <v>9.8000000000000004E-2</v>
      </c>
      <c r="F20" s="117">
        <v>0.108</v>
      </c>
      <c r="G20" s="117">
        <v>7.5999999999999998E-2</v>
      </c>
      <c r="H20" s="118">
        <v>0.112</v>
      </c>
      <c r="I20" s="119">
        <v>7.9000000000000001E-2</v>
      </c>
    </row>
    <row r="21" spans="1:9" ht="15.75" x14ac:dyDescent="0.4">
      <c r="A21" s="115">
        <v>11</v>
      </c>
      <c r="B21" s="116">
        <v>8.5000000000000006E-2</v>
      </c>
      <c r="C21" s="116">
        <v>5.8000000000000003E-2</v>
      </c>
      <c r="D21" s="116">
        <v>0.151</v>
      </c>
      <c r="E21" s="116">
        <v>0.111</v>
      </c>
      <c r="F21" s="117">
        <v>0.126</v>
      </c>
      <c r="G21" s="117">
        <v>8.5000000000000006E-2</v>
      </c>
      <c r="H21" s="118">
        <v>0.13</v>
      </c>
      <c r="I21" s="119">
        <v>8.7999999999999995E-2</v>
      </c>
    </row>
    <row r="22" spans="1:9" ht="15.75" x14ac:dyDescent="0.4">
      <c r="A22" s="115">
        <v>12</v>
      </c>
      <c r="B22" s="116">
        <v>9.6000000000000002E-2</v>
      </c>
      <c r="C22" s="116">
        <v>6.2E-2</v>
      </c>
      <c r="D22" s="116">
        <v>0.17599999999999999</v>
      </c>
      <c r="E22" s="116">
        <v>0.123</v>
      </c>
      <c r="F22" s="117">
        <v>0.14499999999999999</v>
      </c>
      <c r="G22" s="117">
        <v>9.2999999999999999E-2</v>
      </c>
      <c r="H22" s="118">
        <v>0.14899999999999999</v>
      </c>
      <c r="I22" s="119">
        <v>9.7000000000000003E-2</v>
      </c>
    </row>
    <row r="23" spans="1:9" ht="15.75" x14ac:dyDescent="0.4">
      <c r="A23" s="115">
        <v>13</v>
      </c>
      <c r="B23" s="116">
        <v>0.109</v>
      </c>
      <c r="C23" s="116">
        <v>6.7000000000000004E-2</v>
      </c>
      <c r="D23" s="116">
        <v>0.20200000000000001</v>
      </c>
      <c r="E23" s="116">
        <v>0.13500000000000001</v>
      </c>
      <c r="F23" s="117">
        <v>0.16400000000000001</v>
      </c>
      <c r="G23" s="117">
        <v>0.10100000000000001</v>
      </c>
      <c r="H23" s="118">
        <v>0.16900000000000001</v>
      </c>
      <c r="I23" s="119">
        <v>0.104</v>
      </c>
    </row>
    <row r="24" spans="1:9" ht="15.75" x14ac:dyDescent="0.4">
      <c r="A24" s="115">
        <v>14</v>
      </c>
      <c r="B24" s="116">
        <v>0.122</v>
      </c>
      <c r="C24" s="116">
        <v>7.1999999999999995E-2</v>
      </c>
      <c r="D24" s="116">
        <v>0.22800000000000001</v>
      </c>
      <c r="E24" s="116">
        <v>0.14599999999999999</v>
      </c>
      <c r="F24" s="117">
        <v>0.18099999999999999</v>
      </c>
      <c r="G24" s="117">
        <v>0.106</v>
      </c>
      <c r="H24" s="118">
        <v>0.187</v>
      </c>
      <c r="I24" s="119">
        <v>0.11</v>
      </c>
    </row>
    <row r="25" spans="1:9" ht="15.75" x14ac:dyDescent="0.4">
      <c r="A25" s="115">
        <v>15</v>
      </c>
      <c r="B25" s="116">
        <v>0.13600000000000001</v>
      </c>
      <c r="C25" s="116">
        <v>7.5999999999999998E-2</v>
      </c>
      <c r="D25" s="116">
        <v>0.252</v>
      </c>
      <c r="E25" s="116">
        <v>0.154</v>
      </c>
      <c r="F25" s="117">
        <v>0.19500000000000001</v>
      </c>
      <c r="G25" s="117">
        <v>0.11</v>
      </c>
      <c r="H25" s="118">
        <v>0.20300000000000001</v>
      </c>
      <c r="I25" s="119">
        <v>0.115</v>
      </c>
    </row>
    <row r="26" spans="1:9" ht="15.75" x14ac:dyDescent="0.4">
      <c r="A26" s="115">
        <v>16</v>
      </c>
      <c r="B26" s="116">
        <v>0.15</v>
      </c>
      <c r="C26" s="116">
        <v>0.08</v>
      </c>
      <c r="D26" s="116">
        <v>0.27400000000000002</v>
      </c>
      <c r="E26" s="116">
        <v>0.16</v>
      </c>
      <c r="F26" s="117">
        <v>0.20699999999999999</v>
      </c>
      <c r="G26" s="117">
        <v>0.112</v>
      </c>
      <c r="H26" s="118">
        <v>0.216</v>
      </c>
      <c r="I26" s="119">
        <v>0.11799999999999999</v>
      </c>
    </row>
    <row r="27" spans="1:9" ht="15.75" x14ac:dyDescent="0.4">
      <c r="A27" s="115">
        <v>17</v>
      </c>
      <c r="B27" s="116">
        <v>0.16400000000000001</v>
      </c>
      <c r="C27" s="116">
        <v>8.4000000000000005E-2</v>
      </c>
      <c r="D27" s="116">
        <v>0.29399999999999998</v>
      </c>
      <c r="E27" s="116">
        <v>0.16500000000000001</v>
      </c>
      <c r="F27" s="117">
        <v>0.217</v>
      </c>
      <c r="G27" s="117">
        <v>0.114</v>
      </c>
      <c r="H27" s="118">
        <v>0.22800000000000001</v>
      </c>
      <c r="I27" s="119">
        <v>0.121</v>
      </c>
    </row>
    <row r="28" spans="1:9" ht="15.75" x14ac:dyDescent="0.4">
      <c r="A28" s="115">
        <v>18</v>
      </c>
      <c r="B28" s="116">
        <v>0.17799999999999999</v>
      </c>
      <c r="C28" s="116">
        <v>8.7999999999999995E-2</v>
      </c>
      <c r="D28" s="116">
        <v>0.312</v>
      </c>
      <c r="E28" s="116">
        <v>0.16900000000000001</v>
      </c>
      <c r="F28" s="117">
        <v>0.22700000000000001</v>
      </c>
      <c r="G28" s="117">
        <v>0.11600000000000001</v>
      </c>
      <c r="H28" s="118">
        <v>0.23899999999999999</v>
      </c>
      <c r="I28" s="119">
        <v>0.124</v>
      </c>
    </row>
    <row r="29" spans="1:9" ht="15.75" x14ac:dyDescent="0.4">
      <c r="A29" s="115">
        <v>19</v>
      </c>
      <c r="B29" s="116">
        <v>0.191</v>
      </c>
      <c r="C29" s="116">
        <v>9.1999999999999998E-2</v>
      </c>
      <c r="D29" s="116">
        <v>0.32900000000000001</v>
      </c>
      <c r="E29" s="116">
        <v>0.17199999999999999</v>
      </c>
      <c r="F29" s="117">
        <v>0.23599999999999999</v>
      </c>
      <c r="G29" s="117">
        <v>0.11899999999999999</v>
      </c>
      <c r="H29" s="118">
        <v>0.25</v>
      </c>
      <c r="I29" s="119">
        <v>0.127</v>
      </c>
    </row>
    <row r="30" spans="1:9" ht="15.75" x14ac:dyDescent="0.4">
      <c r="A30" s="115">
        <v>20</v>
      </c>
      <c r="B30" s="116">
        <v>0.20499999999999999</v>
      </c>
      <c r="C30" s="116">
        <v>9.6000000000000002E-2</v>
      </c>
      <c r="D30" s="116">
        <v>0.34699999999999998</v>
      </c>
      <c r="E30" s="116">
        <v>0.17499999999999999</v>
      </c>
      <c r="F30" s="117">
        <v>0.247</v>
      </c>
      <c r="G30" s="117">
        <v>0.123</v>
      </c>
      <c r="H30" s="118">
        <v>0.26200000000000001</v>
      </c>
      <c r="I30" s="119">
        <v>0.13200000000000001</v>
      </c>
    </row>
    <row r="31" spans="1:9" ht="15.75" x14ac:dyDescent="0.4">
      <c r="A31" s="115">
        <v>21</v>
      </c>
      <c r="B31" s="116">
        <v>0.218</v>
      </c>
      <c r="C31" s="116">
        <v>0.10100000000000001</v>
      </c>
      <c r="D31" s="116">
        <v>0.36599999999999999</v>
      </c>
      <c r="E31" s="116">
        <v>0.17799999999999999</v>
      </c>
      <c r="F31" s="117">
        <v>0.26100000000000001</v>
      </c>
      <c r="G31" s="117">
        <v>0.129</v>
      </c>
      <c r="H31" s="118">
        <v>0.27600000000000002</v>
      </c>
      <c r="I31" s="119">
        <v>0.13700000000000001</v>
      </c>
    </row>
    <row r="32" spans="1:9" ht="15.75" x14ac:dyDescent="0.4">
      <c r="A32" s="115">
        <v>22</v>
      </c>
      <c r="B32" s="116">
        <v>0.23100000000000001</v>
      </c>
      <c r="C32" s="116">
        <v>0.105</v>
      </c>
      <c r="D32" s="116">
        <v>0.38700000000000001</v>
      </c>
      <c r="E32" s="116">
        <v>0.182</v>
      </c>
      <c r="F32" s="117">
        <v>0.27600000000000002</v>
      </c>
      <c r="G32" s="117">
        <v>0.13600000000000001</v>
      </c>
      <c r="H32" s="118">
        <v>0.29299999999999998</v>
      </c>
      <c r="I32" s="119">
        <v>0.14399999999999999</v>
      </c>
    </row>
    <row r="33" spans="1:9" ht="15.75" x14ac:dyDescent="0.4">
      <c r="A33" s="115">
        <v>23</v>
      </c>
      <c r="B33" s="116">
        <v>0.24299999999999999</v>
      </c>
      <c r="C33" s="116">
        <v>0.11</v>
      </c>
      <c r="D33" s="116">
        <v>0.41</v>
      </c>
      <c r="E33" s="116">
        <v>0.187</v>
      </c>
      <c r="F33" s="117">
        <v>0.29399999999999998</v>
      </c>
      <c r="G33" s="117">
        <v>0.14399999999999999</v>
      </c>
      <c r="H33" s="118">
        <v>0.312</v>
      </c>
      <c r="I33" s="119">
        <v>0.151</v>
      </c>
    </row>
    <row r="34" spans="1:9" ht="15.75" x14ac:dyDescent="0.4">
      <c r="A34" s="115">
        <v>24</v>
      </c>
      <c r="B34" s="116">
        <v>0.254</v>
      </c>
      <c r="C34" s="116">
        <v>0.114</v>
      </c>
      <c r="D34" s="116">
        <v>0.435</v>
      </c>
      <c r="E34" s="116">
        <v>0.192</v>
      </c>
      <c r="F34" s="117">
        <v>0.314</v>
      </c>
      <c r="G34" s="117">
        <v>0.151</v>
      </c>
      <c r="H34" s="118">
        <v>0.33300000000000002</v>
      </c>
      <c r="I34" s="119">
        <v>0.157</v>
      </c>
    </row>
    <row r="35" spans="1:9" ht="15.75" x14ac:dyDescent="0.4">
      <c r="A35" s="115">
        <v>25</v>
      </c>
      <c r="B35" s="116">
        <v>0.26600000000000001</v>
      </c>
      <c r="C35" s="116">
        <v>0.11799999999999999</v>
      </c>
      <c r="D35" s="116">
        <v>0.46</v>
      </c>
      <c r="E35" s="116">
        <v>0.19900000000000001</v>
      </c>
      <c r="F35" s="117">
        <v>0.33500000000000002</v>
      </c>
      <c r="G35" s="117">
        <v>0.157</v>
      </c>
      <c r="H35" s="118">
        <v>0.35499999999999998</v>
      </c>
      <c r="I35" s="119">
        <v>0.16400000000000001</v>
      </c>
    </row>
    <row r="36" spans="1:9" ht="15.75" x14ac:dyDescent="0.4">
      <c r="A36" s="115">
        <v>26</v>
      </c>
      <c r="B36" s="116">
        <v>0.27900000000000003</v>
      </c>
      <c r="C36" s="116">
        <v>0.121</v>
      </c>
      <c r="D36" s="116">
        <v>0.48599999999999999</v>
      </c>
      <c r="E36" s="116">
        <v>0.20499999999999999</v>
      </c>
      <c r="F36" s="117">
        <v>0.35699999999999998</v>
      </c>
      <c r="G36" s="117">
        <v>0.16300000000000001</v>
      </c>
      <c r="H36" s="118">
        <v>0.378</v>
      </c>
      <c r="I36" s="119">
        <v>0.17</v>
      </c>
    </row>
    <row r="37" spans="1:9" ht="15.75" x14ac:dyDescent="0.4">
      <c r="A37" s="115">
        <v>27</v>
      </c>
      <c r="B37" s="116">
        <v>0.29199999999999998</v>
      </c>
      <c r="C37" s="116">
        <v>0.125</v>
      </c>
      <c r="D37" s="116">
        <v>0.51200000000000001</v>
      </c>
      <c r="E37" s="116">
        <v>0.21199999999999999</v>
      </c>
      <c r="F37" s="117">
        <v>0.379</v>
      </c>
      <c r="G37" s="117">
        <v>0.16800000000000001</v>
      </c>
      <c r="H37" s="118">
        <v>0.40100000000000002</v>
      </c>
      <c r="I37" s="119">
        <v>0.17499999999999999</v>
      </c>
    </row>
    <row r="38" spans="1:9" ht="15.75" x14ac:dyDescent="0.4">
      <c r="A38" s="115">
        <v>28</v>
      </c>
      <c r="B38" s="116">
        <v>0.308</v>
      </c>
      <c r="C38" s="116">
        <v>0.128</v>
      </c>
      <c r="D38" s="116">
        <v>0.53700000000000003</v>
      </c>
      <c r="E38" s="116">
        <v>0.219</v>
      </c>
      <c r="F38" s="117">
        <v>0.40100000000000002</v>
      </c>
      <c r="G38" s="117">
        <v>0.17299999999999999</v>
      </c>
      <c r="H38" s="118">
        <v>0.42499999999999999</v>
      </c>
      <c r="I38" s="119">
        <v>0.18099999999999999</v>
      </c>
    </row>
    <row r="39" spans="1:9" ht="15.75" x14ac:dyDescent="0.4">
      <c r="A39" s="115">
        <v>29</v>
      </c>
      <c r="B39" s="116">
        <v>0.32600000000000001</v>
      </c>
      <c r="C39" s="116">
        <v>0.13200000000000001</v>
      </c>
      <c r="D39" s="116">
        <v>0.56200000000000006</v>
      </c>
      <c r="E39" s="116">
        <v>0.22700000000000001</v>
      </c>
      <c r="F39" s="117">
        <v>0.42299999999999999</v>
      </c>
      <c r="G39" s="117">
        <v>0.17899999999999999</v>
      </c>
      <c r="H39" s="118">
        <v>0.44800000000000001</v>
      </c>
      <c r="I39" s="119">
        <v>0.187</v>
      </c>
    </row>
    <row r="40" spans="1:9" ht="15.75" x14ac:dyDescent="0.4">
      <c r="A40" s="115">
        <v>30</v>
      </c>
      <c r="B40" s="116">
        <v>0.34799999999999998</v>
      </c>
      <c r="C40" s="116">
        <v>0.13700000000000001</v>
      </c>
      <c r="D40" s="116">
        <v>0.58699999999999997</v>
      </c>
      <c r="E40" s="116">
        <v>0.23499999999999999</v>
      </c>
      <c r="F40" s="117">
        <v>0.44500000000000001</v>
      </c>
      <c r="G40" s="117">
        <v>0.185</v>
      </c>
      <c r="H40" s="118">
        <v>0.47299999999999998</v>
      </c>
      <c r="I40" s="119">
        <v>0.19400000000000001</v>
      </c>
    </row>
    <row r="41" spans="1:9" ht="15.75" x14ac:dyDescent="0.4">
      <c r="A41" s="115">
        <v>31</v>
      </c>
      <c r="B41" s="116">
        <v>0.373</v>
      </c>
      <c r="C41" s="116">
        <v>0.14299999999999999</v>
      </c>
      <c r="D41" s="116">
        <v>0.61499999999999999</v>
      </c>
      <c r="E41" s="116">
        <v>0.24299999999999999</v>
      </c>
      <c r="F41" s="117">
        <v>0.46899999999999997</v>
      </c>
      <c r="G41" s="117">
        <v>0.19400000000000001</v>
      </c>
      <c r="H41" s="118">
        <v>0.499</v>
      </c>
      <c r="I41" s="119">
        <v>0.20200000000000001</v>
      </c>
    </row>
    <row r="42" spans="1:9" ht="15.75" x14ac:dyDescent="0.4">
      <c r="A42" s="115">
        <v>32</v>
      </c>
      <c r="B42" s="116">
        <v>0.40200000000000002</v>
      </c>
      <c r="C42" s="116">
        <v>0.151</v>
      </c>
      <c r="D42" s="116">
        <v>0.64700000000000002</v>
      </c>
      <c r="E42" s="116">
        <v>0.252</v>
      </c>
      <c r="F42" s="117">
        <v>0.496</v>
      </c>
      <c r="G42" s="117">
        <v>0.20300000000000001</v>
      </c>
      <c r="H42" s="118">
        <v>0.52900000000000003</v>
      </c>
      <c r="I42" s="119">
        <v>0.21199999999999999</v>
      </c>
    </row>
    <row r="43" spans="1:9" ht="15.75" x14ac:dyDescent="0.4">
      <c r="A43" s="115">
        <v>33</v>
      </c>
      <c r="B43" s="116">
        <v>0.436</v>
      </c>
      <c r="C43" s="116">
        <v>0.16</v>
      </c>
      <c r="D43" s="116">
        <v>0.68500000000000005</v>
      </c>
      <c r="E43" s="116">
        <v>0.26300000000000001</v>
      </c>
      <c r="F43" s="117">
        <v>0.52700000000000002</v>
      </c>
      <c r="G43" s="117">
        <v>0.215</v>
      </c>
      <c r="H43" s="118">
        <v>0.56299999999999994</v>
      </c>
      <c r="I43" s="119">
        <v>0.223</v>
      </c>
    </row>
    <row r="44" spans="1:9" ht="15.75" x14ac:dyDescent="0.4">
      <c r="A44" s="115">
        <v>34</v>
      </c>
      <c r="B44" s="116">
        <v>0.47499999999999998</v>
      </c>
      <c r="C44" s="116">
        <v>0.17299999999999999</v>
      </c>
      <c r="D44" s="116">
        <v>0.73</v>
      </c>
      <c r="E44" s="116">
        <v>0.27600000000000002</v>
      </c>
      <c r="F44" s="117">
        <v>0.56499999999999995</v>
      </c>
      <c r="G44" s="117">
        <v>0.22800000000000001</v>
      </c>
      <c r="H44" s="118">
        <v>0.60399999999999998</v>
      </c>
      <c r="I44" s="119">
        <v>0.23699999999999999</v>
      </c>
    </row>
    <row r="45" spans="1:9" ht="15.75" x14ac:dyDescent="0.4">
      <c r="A45" s="115">
        <v>35</v>
      </c>
      <c r="B45" s="116">
        <v>0.51900000000000002</v>
      </c>
      <c r="C45" s="116">
        <v>0.187</v>
      </c>
      <c r="D45" s="116">
        <v>0.78400000000000003</v>
      </c>
      <c r="E45" s="116">
        <v>0.29199999999999998</v>
      </c>
      <c r="F45" s="117">
        <v>0.61</v>
      </c>
      <c r="G45" s="117">
        <v>0.24299999999999999</v>
      </c>
      <c r="H45" s="118">
        <v>0.65200000000000002</v>
      </c>
      <c r="I45" s="119">
        <v>0.252</v>
      </c>
    </row>
    <row r="46" spans="1:9" ht="15.75" x14ac:dyDescent="0.4">
      <c r="A46" s="115">
        <v>36</v>
      </c>
      <c r="B46" s="116">
        <v>0.56899999999999995</v>
      </c>
      <c r="C46" s="116">
        <v>0.20499999999999999</v>
      </c>
      <c r="D46" s="116">
        <v>0.84699999999999998</v>
      </c>
      <c r="E46" s="116">
        <v>0.311</v>
      </c>
      <c r="F46" s="117">
        <v>0.66300000000000003</v>
      </c>
      <c r="G46" s="117">
        <v>0.26</v>
      </c>
      <c r="H46" s="118">
        <v>0.70899999999999996</v>
      </c>
      <c r="I46" s="119">
        <v>0.27</v>
      </c>
    </row>
    <row r="47" spans="1:9" ht="15.75" x14ac:dyDescent="0.4">
      <c r="A47" s="115">
        <v>37</v>
      </c>
      <c r="B47" s="116">
        <v>0.623</v>
      </c>
      <c r="C47" s="116">
        <v>0.22500000000000001</v>
      </c>
      <c r="D47" s="116">
        <v>0.92100000000000004</v>
      </c>
      <c r="E47" s="116">
        <v>0.33500000000000002</v>
      </c>
      <c r="F47" s="117">
        <v>0.72499999999999998</v>
      </c>
      <c r="G47" s="117">
        <v>0.27900000000000003</v>
      </c>
      <c r="H47" s="118">
        <v>0.77300000000000002</v>
      </c>
      <c r="I47" s="119">
        <v>0.28999999999999998</v>
      </c>
    </row>
    <row r="48" spans="1:9" ht="15.75" x14ac:dyDescent="0.4">
      <c r="A48" s="115">
        <v>38</v>
      </c>
      <c r="B48" s="116">
        <v>0.68200000000000005</v>
      </c>
      <c r="C48" s="116">
        <v>0.247</v>
      </c>
      <c r="D48" s="116">
        <v>1.004</v>
      </c>
      <c r="E48" s="116">
        <v>0.36399999999999999</v>
      </c>
      <c r="F48" s="117">
        <v>0.79400000000000004</v>
      </c>
      <c r="G48" s="117">
        <v>0.30099999999999999</v>
      </c>
      <c r="H48" s="118">
        <v>0.84599999999999997</v>
      </c>
      <c r="I48" s="119">
        <v>0.314</v>
      </c>
    </row>
    <row r="49" spans="1:9" ht="15.75" x14ac:dyDescent="0.4">
      <c r="A49" s="115">
        <v>39</v>
      </c>
      <c r="B49" s="116">
        <v>0.74399999999999999</v>
      </c>
      <c r="C49" s="116">
        <v>0.27200000000000002</v>
      </c>
      <c r="D49" s="116">
        <v>1.097</v>
      </c>
      <c r="E49" s="116">
        <v>0.39900000000000002</v>
      </c>
      <c r="F49" s="117">
        <v>0.87</v>
      </c>
      <c r="G49" s="117">
        <v>0.32800000000000001</v>
      </c>
      <c r="H49" s="118">
        <v>0.92700000000000005</v>
      </c>
      <c r="I49" s="119">
        <v>0.34300000000000003</v>
      </c>
    </row>
    <row r="50" spans="1:9" ht="15.75" x14ac:dyDescent="0.4">
      <c r="A50" s="115">
        <v>40</v>
      </c>
      <c r="B50" s="116">
        <v>0.80900000000000005</v>
      </c>
      <c r="C50" s="116">
        <v>0.3</v>
      </c>
      <c r="D50" s="116">
        <v>1.202</v>
      </c>
      <c r="E50" s="116">
        <v>0.44</v>
      </c>
      <c r="F50" s="117">
        <v>0.95199999999999996</v>
      </c>
      <c r="G50" s="117">
        <v>0.35799999999999998</v>
      </c>
      <c r="H50" s="118">
        <v>1.0149999999999999</v>
      </c>
      <c r="I50" s="119">
        <v>0.376</v>
      </c>
    </row>
    <row r="51" spans="1:9" ht="15.75" x14ac:dyDescent="0.4">
      <c r="A51" s="115">
        <v>41</v>
      </c>
      <c r="B51" s="116">
        <v>0.877</v>
      </c>
      <c r="C51" s="116">
        <v>0.33</v>
      </c>
      <c r="D51" s="116">
        <v>1.3180000000000001</v>
      </c>
      <c r="E51" s="116">
        <v>0.48699999999999999</v>
      </c>
      <c r="F51" s="117">
        <v>1.04</v>
      </c>
      <c r="G51" s="117">
        <v>0.39300000000000002</v>
      </c>
      <c r="H51" s="118">
        <v>1.1100000000000001</v>
      </c>
      <c r="I51" s="119">
        <v>0.41299999999999998</v>
      </c>
    </row>
    <row r="52" spans="1:9" ht="15.75" x14ac:dyDescent="0.4">
      <c r="A52" s="115">
        <v>42</v>
      </c>
      <c r="B52" s="116">
        <v>0.94899999999999995</v>
      </c>
      <c r="C52" s="116">
        <v>0.36199999999999999</v>
      </c>
      <c r="D52" s="116">
        <v>1.448</v>
      </c>
      <c r="E52" s="116">
        <v>0.54100000000000004</v>
      </c>
      <c r="F52" s="117">
        <v>1.133</v>
      </c>
      <c r="G52" s="117">
        <v>0.432</v>
      </c>
      <c r="H52" s="118">
        <v>1.2150000000000001</v>
      </c>
      <c r="I52" s="119">
        <v>0.45600000000000002</v>
      </c>
    </row>
    <row r="53" spans="1:9" ht="15.75" x14ac:dyDescent="0.4">
      <c r="A53" s="115">
        <v>43</v>
      </c>
      <c r="B53" s="116">
        <v>1.0249999999999999</v>
      </c>
      <c r="C53" s="116">
        <v>0.39600000000000002</v>
      </c>
      <c r="D53" s="116">
        <v>1.593</v>
      </c>
      <c r="E53" s="116">
        <v>0.60199999999999998</v>
      </c>
      <c r="F53" s="117">
        <v>1.232</v>
      </c>
      <c r="G53" s="117">
        <v>0.47699999999999998</v>
      </c>
      <c r="H53" s="118">
        <v>1.329</v>
      </c>
      <c r="I53" s="119">
        <v>0.504</v>
      </c>
    </row>
    <row r="54" spans="1:9" ht="15.75" x14ac:dyDescent="0.4">
      <c r="A54" s="115">
        <v>44</v>
      </c>
      <c r="B54" s="116">
        <v>1.1040000000000001</v>
      </c>
      <c r="C54" s="116">
        <v>0.434</v>
      </c>
      <c r="D54" s="116">
        <v>1.7549999999999999</v>
      </c>
      <c r="E54" s="116">
        <v>0.66900000000000004</v>
      </c>
      <c r="F54" s="117">
        <v>1.3380000000000001</v>
      </c>
      <c r="G54" s="117">
        <v>0.52800000000000002</v>
      </c>
      <c r="H54" s="118">
        <v>1.454</v>
      </c>
      <c r="I54" s="119">
        <v>0.55800000000000005</v>
      </c>
    </row>
    <row r="55" spans="1:9" ht="15.75" x14ac:dyDescent="0.4">
      <c r="A55" s="115">
        <v>45</v>
      </c>
      <c r="B55" s="116">
        <v>1.1879999999999999</v>
      </c>
      <c r="C55" s="116">
        <v>0.47499999999999998</v>
      </c>
      <c r="D55" s="116">
        <v>1.9330000000000001</v>
      </c>
      <c r="E55" s="116">
        <v>0.74399999999999999</v>
      </c>
      <c r="F55" s="117">
        <v>1.452</v>
      </c>
      <c r="G55" s="117">
        <v>0.58399999999999996</v>
      </c>
      <c r="H55" s="118">
        <v>1.591</v>
      </c>
      <c r="I55" s="119">
        <v>0.61799999999999999</v>
      </c>
    </row>
    <row r="56" spans="1:9" ht="15.75" x14ac:dyDescent="0.4">
      <c r="A56" s="115">
        <v>46</v>
      </c>
      <c r="B56" s="116">
        <v>1.2769999999999999</v>
      </c>
      <c r="C56" s="116">
        <v>0.52</v>
      </c>
      <c r="D56" s="116">
        <v>2.129</v>
      </c>
      <c r="E56" s="116">
        <v>0.82599999999999996</v>
      </c>
      <c r="F56" s="117">
        <v>1.577</v>
      </c>
      <c r="G56" s="117">
        <v>0.64600000000000002</v>
      </c>
      <c r="H56" s="118">
        <v>1.74</v>
      </c>
      <c r="I56" s="119">
        <v>0.68500000000000005</v>
      </c>
    </row>
    <row r="57" spans="1:9" ht="15.75" x14ac:dyDescent="0.4">
      <c r="A57" s="115">
        <v>47</v>
      </c>
      <c r="B57" s="116">
        <v>1.371</v>
      </c>
      <c r="C57" s="116">
        <v>0.57099999999999995</v>
      </c>
      <c r="D57" s="116">
        <v>2.3420000000000001</v>
      </c>
      <c r="E57" s="116">
        <v>0.91600000000000004</v>
      </c>
      <c r="F57" s="117">
        <v>1.7130000000000001</v>
      </c>
      <c r="G57" s="117">
        <v>0.71299999999999997</v>
      </c>
      <c r="H57" s="118">
        <v>1.903</v>
      </c>
      <c r="I57" s="119">
        <v>0.75800000000000001</v>
      </c>
    </row>
    <row r="58" spans="1:9" ht="15.75" x14ac:dyDescent="0.4">
      <c r="A58" s="115">
        <v>48</v>
      </c>
      <c r="B58" s="116">
        <v>1.4710000000000001</v>
      </c>
      <c r="C58" s="116">
        <v>0.626</v>
      </c>
      <c r="D58" s="116">
        <v>2.5720000000000001</v>
      </c>
      <c r="E58" s="116">
        <v>1.0149999999999999</v>
      </c>
      <c r="F58" s="117">
        <v>1.863</v>
      </c>
      <c r="G58" s="117">
        <v>0.78500000000000003</v>
      </c>
      <c r="H58" s="118">
        <v>2.0790000000000002</v>
      </c>
      <c r="I58" s="119">
        <v>0.83799999999999997</v>
      </c>
    </row>
    <row r="59" spans="1:9" ht="15.75" x14ac:dyDescent="0.4">
      <c r="A59" s="115">
        <v>49</v>
      </c>
      <c r="B59" s="116">
        <v>1.58</v>
      </c>
      <c r="C59" s="116">
        <v>0.68600000000000005</v>
      </c>
      <c r="D59" s="116">
        <v>2.8220000000000001</v>
      </c>
      <c r="E59" s="116">
        <v>1.123</v>
      </c>
      <c r="F59" s="117">
        <v>2.0289999999999999</v>
      </c>
      <c r="G59" s="117">
        <v>0.86099999999999999</v>
      </c>
      <c r="H59" s="118">
        <v>2.2719999999999998</v>
      </c>
      <c r="I59" s="119">
        <v>0.92300000000000004</v>
      </c>
    </row>
    <row r="60" spans="1:9" ht="15.75" x14ac:dyDescent="0.4">
      <c r="A60" s="115">
        <v>50</v>
      </c>
      <c r="B60" s="116">
        <v>1.698</v>
      </c>
      <c r="C60" s="116">
        <v>0.75</v>
      </c>
      <c r="D60" s="116">
        <v>3.093</v>
      </c>
      <c r="E60" s="116">
        <v>1.2410000000000001</v>
      </c>
      <c r="F60" s="117">
        <v>2.2120000000000002</v>
      </c>
      <c r="G60" s="117">
        <v>0.94199999999999995</v>
      </c>
      <c r="H60" s="118">
        <v>2.4809999999999999</v>
      </c>
      <c r="I60" s="119">
        <v>1.0149999999999999</v>
      </c>
    </row>
    <row r="61" spans="1:9" ht="15.75" x14ac:dyDescent="0.4">
      <c r="A61" s="115">
        <v>51</v>
      </c>
      <c r="B61" s="116">
        <v>1.831</v>
      </c>
      <c r="C61" s="116">
        <v>0.81599999999999995</v>
      </c>
      <c r="D61" s="116">
        <v>3.39</v>
      </c>
      <c r="E61" s="116">
        <v>1.37</v>
      </c>
      <c r="F61" s="117">
        <v>2.4140000000000001</v>
      </c>
      <c r="G61" s="117">
        <v>1.0269999999999999</v>
      </c>
      <c r="H61" s="118">
        <v>2.7109999999999999</v>
      </c>
      <c r="I61" s="119">
        <v>1.1120000000000001</v>
      </c>
    </row>
    <row r="62" spans="1:9" ht="15.75" x14ac:dyDescent="0.4">
      <c r="A62" s="115">
        <v>52</v>
      </c>
      <c r="B62" s="116">
        <v>1.98</v>
      </c>
      <c r="C62" s="116">
        <v>0.88400000000000001</v>
      </c>
      <c r="D62" s="116">
        <v>3.7189999999999999</v>
      </c>
      <c r="E62" s="116">
        <v>1.5109999999999999</v>
      </c>
      <c r="F62" s="117">
        <v>2.6360000000000001</v>
      </c>
      <c r="G62" s="117">
        <v>1.1160000000000001</v>
      </c>
      <c r="H62" s="118">
        <v>2.964</v>
      </c>
      <c r="I62" s="119">
        <v>1.216</v>
      </c>
    </row>
    <row r="63" spans="1:9" ht="15.75" x14ac:dyDescent="0.4">
      <c r="A63" s="115">
        <v>53</v>
      </c>
      <c r="B63" s="116">
        <v>2.1509999999999998</v>
      </c>
      <c r="C63" s="116">
        <v>0.95499999999999996</v>
      </c>
      <c r="D63" s="116">
        <v>4.0869999999999997</v>
      </c>
      <c r="E63" s="116">
        <v>1.665</v>
      </c>
      <c r="F63" s="117">
        <v>2.879</v>
      </c>
      <c r="G63" s="117">
        <v>1.2110000000000001</v>
      </c>
      <c r="H63" s="118">
        <v>3.2450000000000001</v>
      </c>
      <c r="I63" s="119">
        <v>1.3280000000000001</v>
      </c>
    </row>
    <row r="64" spans="1:9" ht="15.75" x14ac:dyDescent="0.4">
      <c r="A64" s="115">
        <v>54</v>
      </c>
      <c r="B64" s="116">
        <v>2.347</v>
      </c>
      <c r="C64" s="116">
        <v>1.0289999999999999</v>
      </c>
      <c r="D64" s="116">
        <v>4.4989999999999997</v>
      </c>
      <c r="E64" s="116">
        <v>1.835</v>
      </c>
      <c r="F64" s="117">
        <v>3.1440000000000001</v>
      </c>
      <c r="G64" s="117">
        <v>1.3129999999999999</v>
      </c>
      <c r="H64" s="118">
        <v>3.5569999999999999</v>
      </c>
      <c r="I64" s="119">
        <v>1.45</v>
      </c>
    </row>
    <row r="65" spans="1:9" ht="15.75" x14ac:dyDescent="0.4">
      <c r="A65" s="115">
        <v>55</v>
      </c>
      <c r="B65" s="116">
        <v>2.57</v>
      </c>
      <c r="C65" s="116">
        <v>1.1100000000000001</v>
      </c>
      <c r="D65" s="116">
        <v>4.9589999999999996</v>
      </c>
      <c r="E65" s="116">
        <v>2.0230000000000001</v>
      </c>
      <c r="F65" s="117">
        <v>3.4319999999999999</v>
      </c>
      <c r="G65" s="117">
        <v>1.425</v>
      </c>
      <c r="H65" s="118">
        <v>3.9049999999999998</v>
      </c>
      <c r="I65" s="119">
        <v>1.585</v>
      </c>
    </row>
    <row r="66" spans="1:9" ht="15.75" x14ac:dyDescent="0.4">
      <c r="A66" s="115">
        <v>56</v>
      </c>
      <c r="B66" s="116">
        <v>2.8239999999999998</v>
      </c>
      <c r="C66" s="116">
        <v>1.2</v>
      </c>
      <c r="D66" s="116">
        <v>5.468</v>
      </c>
      <c r="E66" s="116">
        <v>2.2320000000000002</v>
      </c>
      <c r="F66" s="117">
        <v>3.7440000000000002</v>
      </c>
      <c r="G66" s="117">
        <v>1.5469999999999999</v>
      </c>
      <c r="H66" s="118">
        <v>4.29</v>
      </c>
      <c r="I66" s="119">
        <v>1.7370000000000001</v>
      </c>
    </row>
    <row r="67" spans="1:9" ht="15.75" x14ac:dyDescent="0.4">
      <c r="A67" s="115">
        <v>57</v>
      </c>
      <c r="B67" s="116">
        <v>3.1110000000000002</v>
      </c>
      <c r="C67" s="116">
        <v>1.304</v>
      </c>
      <c r="D67" s="116">
        <v>6.024</v>
      </c>
      <c r="E67" s="116">
        <v>2.4630000000000001</v>
      </c>
      <c r="F67" s="117">
        <v>4.0810000000000004</v>
      </c>
      <c r="G67" s="117">
        <v>1.6850000000000001</v>
      </c>
      <c r="H67" s="118">
        <v>4.7149999999999999</v>
      </c>
      <c r="I67" s="119">
        <v>1.911</v>
      </c>
    </row>
    <row r="68" spans="1:9" ht="15.75" x14ac:dyDescent="0.4">
      <c r="A68" s="115">
        <v>58</v>
      </c>
      <c r="B68" s="116">
        <v>3.4340000000000002</v>
      </c>
      <c r="C68" s="116">
        <v>1.425</v>
      </c>
      <c r="D68" s="116">
        <v>6.6260000000000003</v>
      </c>
      <c r="E68" s="116">
        <v>2.7189999999999999</v>
      </c>
      <c r="F68" s="117">
        <v>4.4459999999999997</v>
      </c>
      <c r="G68" s="117">
        <v>1.84</v>
      </c>
      <c r="H68" s="118">
        <v>5.18</v>
      </c>
      <c r="I68" s="119">
        <v>2.11</v>
      </c>
    </row>
    <row r="69" spans="1:9" ht="15.75" x14ac:dyDescent="0.4">
      <c r="A69" s="115">
        <v>59</v>
      </c>
      <c r="B69" s="116">
        <v>3.794</v>
      </c>
      <c r="C69" s="116">
        <v>1.5649999999999999</v>
      </c>
      <c r="D69" s="116">
        <v>7.2690000000000001</v>
      </c>
      <c r="E69" s="116">
        <v>3.0030000000000001</v>
      </c>
      <c r="F69" s="117">
        <v>4.843</v>
      </c>
      <c r="G69" s="117">
        <v>2.016</v>
      </c>
      <c r="H69" s="118">
        <v>5.6859999999999999</v>
      </c>
      <c r="I69" s="119">
        <v>2.3359999999999999</v>
      </c>
    </row>
    <row r="70" spans="1:9" ht="15.75" x14ac:dyDescent="0.4">
      <c r="A70" s="115">
        <v>60</v>
      </c>
      <c r="B70" s="116">
        <v>4.194</v>
      </c>
      <c r="C70" s="116">
        <v>1.7270000000000001</v>
      </c>
      <c r="D70" s="116">
        <v>7.952</v>
      </c>
      <c r="E70" s="116">
        <v>3.3170000000000002</v>
      </c>
      <c r="F70" s="117">
        <v>5.2759999999999998</v>
      </c>
      <c r="G70" s="117">
        <v>2.2170000000000001</v>
      </c>
      <c r="H70" s="118">
        <v>6.2329999999999997</v>
      </c>
      <c r="I70" s="119">
        <v>2.5920000000000001</v>
      </c>
    </row>
    <row r="71" spans="1:9" ht="15.75" x14ac:dyDescent="0.4">
      <c r="A71" s="115">
        <v>61</v>
      </c>
      <c r="B71" s="116">
        <v>4.6349999999999998</v>
      </c>
      <c r="C71" s="116">
        <v>1.91</v>
      </c>
      <c r="D71" s="116">
        <v>8.6790000000000003</v>
      </c>
      <c r="E71" s="116">
        <v>3.6659999999999999</v>
      </c>
      <c r="F71" s="117">
        <v>5.7519999999999998</v>
      </c>
      <c r="G71" s="117">
        <v>2.448</v>
      </c>
      <c r="H71" s="118">
        <v>6.8220000000000001</v>
      </c>
      <c r="I71" s="119">
        <v>2.879</v>
      </c>
    </row>
    <row r="72" spans="1:9" ht="15.75" x14ac:dyDescent="0.4">
      <c r="A72" s="115">
        <v>62</v>
      </c>
      <c r="B72" s="116">
        <v>5.1159999999999997</v>
      </c>
      <c r="C72" s="116">
        <v>2.113</v>
      </c>
      <c r="D72" s="116">
        <v>9.4559999999999995</v>
      </c>
      <c r="E72" s="116">
        <v>4.0549999999999997</v>
      </c>
      <c r="F72" s="117">
        <v>6.2809999999999997</v>
      </c>
      <c r="G72" s="117">
        <v>2.7130000000000001</v>
      </c>
      <c r="H72" s="118">
        <v>7.4539999999999997</v>
      </c>
      <c r="I72" s="119">
        <v>3.2010000000000001</v>
      </c>
    </row>
    <row r="73" spans="1:9" ht="15.75" x14ac:dyDescent="0.4">
      <c r="A73" s="115">
        <v>63</v>
      </c>
      <c r="B73" s="116">
        <v>5.633</v>
      </c>
      <c r="C73" s="116">
        <v>2.3380000000000001</v>
      </c>
      <c r="D73" s="116">
        <v>10.298</v>
      </c>
      <c r="E73" s="116">
        <v>4.4930000000000003</v>
      </c>
      <c r="F73" s="117">
        <v>6.87</v>
      </c>
      <c r="G73" s="117">
        <v>3.0190000000000001</v>
      </c>
      <c r="H73" s="118">
        <v>8.1349999999999998</v>
      </c>
      <c r="I73" s="119">
        <v>3.5609999999999999</v>
      </c>
    </row>
    <row r="74" spans="1:9" ht="15.75" x14ac:dyDescent="0.4">
      <c r="A74" s="115">
        <v>64</v>
      </c>
      <c r="B74" s="116">
        <v>6.18</v>
      </c>
      <c r="C74" s="116">
        <v>2.5830000000000002</v>
      </c>
      <c r="D74" s="116">
        <v>11.222</v>
      </c>
      <c r="E74" s="116">
        <v>4.992</v>
      </c>
      <c r="F74" s="117">
        <v>7.5309999999999997</v>
      </c>
      <c r="G74" s="117">
        <v>3.3730000000000002</v>
      </c>
      <c r="H74" s="118">
        <v>8.8719999999999999</v>
      </c>
      <c r="I74" s="119">
        <v>3.964</v>
      </c>
    </row>
    <row r="75" spans="1:9" ht="15.75" x14ac:dyDescent="0.4">
      <c r="A75" s="115">
        <v>65</v>
      </c>
      <c r="B75" s="116">
        <v>6.7519999999999998</v>
      </c>
      <c r="C75" s="116">
        <v>2.8540000000000001</v>
      </c>
      <c r="D75" s="116">
        <v>12.252000000000001</v>
      </c>
      <c r="E75" s="116">
        <v>5.5650000000000004</v>
      </c>
      <c r="F75" s="117">
        <v>8.2769999999999992</v>
      </c>
      <c r="G75" s="117">
        <v>3.7839999999999998</v>
      </c>
      <c r="H75" s="118">
        <v>9.6750000000000007</v>
      </c>
      <c r="I75" s="119">
        <v>4.42</v>
      </c>
    </row>
    <row r="76" spans="1:9" ht="15.75" x14ac:dyDescent="0.4">
      <c r="A76" s="115">
        <v>66</v>
      </c>
      <c r="B76" s="116">
        <v>7.3449999999999998</v>
      </c>
      <c r="C76" s="116">
        <v>3.157</v>
      </c>
      <c r="D76" s="116">
        <v>13.414</v>
      </c>
      <c r="E76" s="116">
        <v>6.23</v>
      </c>
      <c r="F76" s="117">
        <v>9.1189999999999998</v>
      </c>
      <c r="G76" s="117">
        <v>4.2649999999999997</v>
      </c>
      <c r="H76" s="118">
        <v>10.561</v>
      </c>
      <c r="I76" s="119">
        <v>4.9409999999999998</v>
      </c>
    </row>
    <row r="77" spans="1:9" ht="15.75" x14ac:dyDescent="0.4">
      <c r="A77" s="115">
        <v>67</v>
      </c>
      <c r="B77" s="116">
        <v>7.9589999999999996</v>
      </c>
      <c r="C77" s="116">
        <v>3.5019999999999998</v>
      </c>
      <c r="D77" s="116">
        <v>14.739000000000001</v>
      </c>
      <c r="E77" s="116">
        <v>7.008</v>
      </c>
      <c r="F77" s="117">
        <v>10.074999999999999</v>
      </c>
      <c r="G77" s="117">
        <v>4.8319999999999999</v>
      </c>
      <c r="H77" s="118">
        <v>11.55</v>
      </c>
      <c r="I77" s="119">
        <v>5.5460000000000003</v>
      </c>
    </row>
    <row r="78" spans="1:9" ht="15.75" x14ac:dyDescent="0.4">
      <c r="A78" s="115">
        <v>68</v>
      </c>
      <c r="B78" s="116">
        <v>8.6020000000000003</v>
      </c>
      <c r="C78" s="116">
        <v>3.9039999999999999</v>
      </c>
      <c r="D78" s="116">
        <v>16.257000000000001</v>
      </c>
      <c r="E78" s="116">
        <v>7.9249999999999998</v>
      </c>
      <c r="F78" s="117">
        <v>11.164999999999999</v>
      </c>
      <c r="G78" s="117">
        <v>5.5019999999999998</v>
      </c>
      <c r="H78" s="118">
        <v>12.670999999999999</v>
      </c>
      <c r="I78" s="119">
        <v>6.258</v>
      </c>
    </row>
    <row r="79" spans="1:9" ht="15.75" x14ac:dyDescent="0.4">
      <c r="A79" s="115">
        <v>69</v>
      </c>
      <c r="B79" s="116">
        <v>9.2929999999999993</v>
      </c>
      <c r="C79" s="116">
        <v>4.3819999999999997</v>
      </c>
      <c r="D79" s="116">
        <v>18.004999999999999</v>
      </c>
      <c r="E79" s="116">
        <v>9.0120000000000005</v>
      </c>
      <c r="F79" s="117">
        <v>12.412000000000001</v>
      </c>
      <c r="G79" s="117">
        <v>6.2969999999999997</v>
      </c>
      <c r="H79" s="118">
        <v>13.959</v>
      </c>
      <c r="I79" s="119">
        <v>7.1070000000000002</v>
      </c>
    </row>
    <row r="80" spans="1:9" ht="15.75" x14ac:dyDescent="0.4">
      <c r="A80" s="115">
        <v>70</v>
      </c>
      <c r="B80" s="116">
        <v>10.06</v>
      </c>
      <c r="C80" s="116">
        <v>4.9580000000000002</v>
      </c>
      <c r="D80" s="116">
        <v>20.018999999999998</v>
      </c>
      <c r="E80" s="116">
        <v>10.302</v>
      </c>
      <c r="F80" s="117">
        <v>13.848000000000001</v>
      </c>
      <c r="G80" s="117">
        <v>7.2430000000000003</v>
      </c>
      <c r="H80" s="118">
        <v>15.454000000000001</v>
      </c>
      <c r="I80" s="119">
        <v>8.1259999999999994</v>
      </c>
    </row>
    <row r="81" spans="1:9" ht="15.75" x14ac:dyDescent="0.4">
      <c r="A81" s="115">
        <v>71</v>
      </c>
      <c r="B81" s="116">
        <v>10.941000000000001</v>
      </c>
      <c r="C81" s="116">
        <v>5.6559999999999997</v>
      </c>
      <c r="D81" s="116">
        <v>22.34</v>
      </c>
      <c r="E81" s="116">
        <v>11.836</v>
      </c>
      <c r="F81" s="117">
        <v>15.507999999999999</v>
      </c>
      <c r="G81" s="117">
        <v>8.3689999999999998</v>
      </c>
      <c r="H81" s="118">
        <v>17.202000000000002</v>
      </c>
      <c r="I81" s="119">
        <v>9.3529999999999998</v>
      </c>
    </row>
    <row r="82" spans="1:9" ht="15.75" x14ac:dyDescent="0.4">
      <c r="A82" s="115">
        <v>72</v>
      </c>
      <c r="B82" s="116">
        <v>11.984</v>
      </c>
      <c r="C82" s="116">
        <v>6.5019999999999998</v>
      </c>
      <c r="D82" s="116">
        <v>25.013000000000002</v>
      </c>
      <c r="E82" s="116">
        <v>13.657</v>
      </c>
      <c r="F82" s="117">
        <v>17.436</v>
      </c>
      <c r="G82" s="117">
        <v>9.7080000000000002</v>
      </c>
      <c r="H82" s="118">
        <v>19.254999999999999</v>
      </c>
      <c r="I82" s="119">
        <v>10.829000000000001</v>
      </c>
    </row>
    <row r="83" spans="1:9" ht="15.75" x14ac:dyDescent="0.4">
      <c r="A83" s="115">
        <v>73</v>
      </c>
      <c r="B83" s="116">
        <v>13.243</v>
      </c>
      <c r="C83" s="116">
        <v>7.524</v>
      </c>
      <c r="D83" s="116">
        <v>28.085999999999999</v>
      </c>
      <c r="E83" s="116">
        <v>15.815</v>
      </c>
      <c r="F83" s="117">
        <v>19.678999999999998</v>
      </c>
      <c r="G83" s="117">
        <v>11.294</v>
      </c>
      <c r="H83" s="118">
        <v>21.664999999999999</v>
      </c>
      <c r="I83" s="119">
        <v>12.597</v>
      </c>
    </row>
    <row r="84" spans="1:9" ht="15.75" x14ac:dyDescent="0.4">
      <c r="A84" s="115">
        <v>74</v>
      </c>
      <c r="B84" s="116">
        <v>14.773</v>
      </c>
      <c r="C84" s="116">
        <v>8.7490000000000006</v>
      </c>
      <c r="D84" s="116">
        <v>31.617000000000001</v>
      </c>
      <c r="E84" s="116">
        <v>18.361000000000001</v>
      </c>
      <c r="F84" s="117">
        <v>22.289000000000001</v>
      </c>
      <c r="G84" s="117">
        <v>13.164999999999999</v>
      </c>
      <c r="H84" s="118">
        <v>24.486000000000001</v>
      </c>
      <c r="I84" s="119">
        <v>14.7</v>
      </c>
    </row>
    <row r="85" spans="1:9" ht="15.75" x14ac:dyDescent="0.4">
      <c r="A85" s="115">
        <v>75</v>
      </c>
      <c r="B85" s="116">
        <v>16.631</v>
      </c>
      <c r="C85" s="116">
        <v>10.206</v>
      </c>
      <c r="D85" s="116">
        <v>35.667000000000002</v>
      </c>
      <c r="E85" s="116">
        <v>21.35</v>
      </c>
      <c r="F85" s="117">
        <v>25.324000000000002</v>
      </c>
      <c r="G85" s="117">
        <v>15.362</v>
      </c>
      <c r="H85" s="118">
        <v>27.77</v>
      </c>
      <c r="I85" s="119">
        <v>17.181000000000001</v>
      </c>
    </row>
    <row r="86" spans="1:9" ht="15.75" x14ac:dyDescent="0.4">
      <c r="A86" s="115">
        <v>76</v>
      </c>
      <c r="B86" s="116">
        <v>18.87</v>
      </c>
      <c r="C86" s="116">
        <v>11.920999999999999</v>
      </c>
      <c r="D86" s="116">
        <v>40.307000000000002</v>
      </c>
      <c r="E86" s="116">
        <v>24.841999999999999</v>
      </c>
      <c r="F86" s="117">
        <v>28.841000000000001</v>
      </c>
      <c r="G86" s="117">
        <v>17.923999999999999</v>
      </c>
      <c r="H86" s="118">
        <v>31.568000000000001</v>
      </c>
      <c r="I86" s="119">
        <v>20.082999999999998</v>
      </c>
    </row>
    <row r="87" spans="1:9" ht="15.75" x14ac:dyDescent="0.4">
      <c r="A87" s="115">
        <v>77</v>
      </c>
      <c r="B87" s="116">
        <v>21.539000000000001</v>
      </c>
      <c r="C87" s="116">
        <v>13.923999999999999</v>
      </c>
      <c r="D87" s="116">
        <v>45.612000000000002</v>
      </c>
      <c r="E87" s="116">
        <v>28.893999999999998</v>
      </c>
      <c r="F87" s="117">
        <v>32.899000000000001</v>
      </c>
      <c r="G87" s="117">
        <v>20.893000000000001</v>
      </c>
      <c r="H87" s="118">
        <v>35.927</v>
      </c>
      <c r="I87" s="119">
        <v>23.448</v>
      </c>
    </row>
    <row r="88" spans="1:9" ht="15.75" x14ac:dyDescent="0.4">
      <c r="A88" s="115">
        <v>78</v>
      </c>
      <c r="B88" s="116">
        <v>24.678000000000001</v>
      </c>
      <c r="C88" s="116">
        <v>16.239999999999998</v>
      </c>
      <c r="D88" s="116">
        <v>51.667000000000002</v>
      </c>
      <c r="E88" s="116">
        <v>33.567</v>
      </c>
      <c r="F88" s="117">
        <v>37.558</v>
      </c>
      <c r="G88" s="117">
        <v>24.312000000000001</v>
      </c>
      <c r="H88" s="118">
        <v>40.89</v>
      </c>
      <c r="I88" s="119">
        <v>27.314</v>
      </c>
    </row>
    <row r="89" spans="1:9" ht="15.75" x14ac:dyDescent="0.4">
      <c r="A89" s="115">
        <v>79</v>
      </c>
      <c r="B89" s="116">
        <v>28.323</v>
      </c>
      <c r="C89" s="116">
        <v>18.896000000000001</v>
      </c>
      <c r="D89" s="116">
        <v>58.563000000000002</v>
      </c>
      <c r="E89" s="116">
        <v>38.923999999999999</v>
      </c>
      <c r="F89" s="117">
        <v>42.875</v>
      </c>
      <c r="G89" s="117">
        <v>28.222000000000001</v>
      </c>
      <c r="H89" s="118">
        <v>46.496000000000002</v>
      </c>
      <c r="I89" s="119">
        <v>31.722000000000001</v>
      </c>
    </row>
    <row r="90" spans="1:9" ht="15.75" x14ac:dyDescent="0.4">
      <c r="A90" s="115">
        <v>80</v>
      </c>
      <c r="B90" s="116">
        <v>32.497999999999998</v>
      </c>
      <c r="C90" s="116">
        <v>21.917000000000002</v>
      </c>
      <c r="D90" s="116">
        <v>66.396000000000001</v>
      </c>
      <c r="E90" s="116">
        <v>45.027000000000001</v>
      </c>
      <c r="F90" s="117">
        <v>48.906999999999996</v>
      </c>
      <c r="G90" s="117">
        <v>32.667999999999999</v>
      </c>
      <c r="H90" s="118">
        <v>52.78</v>
      </c>
      <c r="I90" s="119">
        <v>36.709000000000003</v>
      </c>
    </row>
    <row r="91" spans="1:9" ht="15.75" x14ac:dyDescent="0.4">
      <c r="A91" s="115">
        <v>81</v>
      </c>
      <c r="B91" s="116">
        <v>37.209000000000003</v>
      </c>
      <c r="C91" s="116">
        <v>25.329000000000001</v>
      </c>
      <c r="D91" s="116">
        <v>75.665999999999997</v>
      </c>
      <c r="E91" s="116">
        <v>51.7</v>
      </c>
      <c r="F91" s="117">
        <v>55.710999999999999</v>
      </c>
      <c r="G91" s="117">
        <v>37.692</v>
      </c>
      <c r="H91" s="118">
        <v>59.71</v>
      </c>
      <c r="I91" s="119">
        <v>42.313000000000002</v>
      </c>
    </row>
    <row r="92" spans="1:9" ht="15.75" x14ac:dyDescent="0.4">
      <c r="A92" s="115">
        <v>82</v>
      </c>
      <c r="B92" s="116">
        <v>41.777000000000001</v>
      </c>
      <c r="C92" s="116">
        <v>29.155999999999999</v>
      </c>
      <c r="D92" s="116">
        <v>84.165999999999997</v>
      </c>
      <c r="E92" s="116">
        <v>58.829000000000001</v>
      </c>
      <c r="F92" s="117">
        <v>63.207999999999998</v>
      </c>
      <c r="G92" s="117">
        <v>43.338000000000001</v>
      </c>
      <c r="H92" s="118">
        <v>67.244</v>
      </c>
      <c r="I92" s="119">
        <v>48.57</v>
      </c>
    </row>
    <row r="93" spans="1:9" ht="15.75" x14ac:dyDescent="0.4">
      <c r="A93" s="115">
        <v>83</v>
      </c>
      <c r="B93" s="116">
        <v>46.892000000000003</v>
      </c>
      <c r="C93" s="116">
        <v>33.420999999999999</v>
      </c>
      <c r="D93" s="116">
        <v>93.466999999999999</v>
      </c>
      <c r="E93" s="116">
        <v>66.832999999999998</v>
      </c>
      <c r="F93" s="117">
        <v>71.334999999999994</v>
      </c>
      <c r="G93" s="117">
        <v>49.747999999999998</v>
      </c>
      <c r="H93" s="118">
        <v>75.608000000000004</v>
      </c>
      <c r="I93" s="119">
        <v>55.515000000000001</v>
      </c>
    </row>
    <row r="94" spans="1:9" ht="15.75" x14ac:dyDescent="0.4">
      <c r="A94" s="115">
        <v>84</v>
      </c>
      <c r="B94" s="116">
        <v>52.616999999999997</v>
      </c>
      <c r="C94" s="116">
        <v>38.148000000000003</v>
      </c>
      <c r="D94" s="116">
        <v>103.608</v>
      </c>
      <c r="E94" s="116">
        <v>75.787000000000006</v>
      </c>
      <c r="F94" s="117">
        <v>80.364999999999995</v>
      </c>
      <c r="G94" s="117">
        <v>57.406999999999996</v>
      </c>
      <c r="H94" s="118">
        <v>84.861000000000004</v>
      </c>
      <c r="I94" s="119">
        <v>63.267000000000003</v>
      </c>
    </row>
    <row r="95" spans="1:9" ht="15.75" x14ac:dyDescent="0.4">
      <c r="A95" s="115">
        <v>85</v>
      </c>
      <c r="B95" s="116">
        <v>59.018000000000001</v>
      </c>
      <c r="C95" s="116">
        <v>42.744999999999997</v>
      </c>
      <c r="D95" s="116">
        <v>114.625</v>
      </c>
      <c r="E95" s="116">
        <v>85.766999999999996</v>
      </c>
      <c r="F95" s="117">
        <v>90.361999999999995</v>
      </c>
      <c r="G95" s="117">
        <v>66.116</v>
      </c>
      <c r="H95" s="118">
        <v>95.061999999999998</v>
      </c>
      <c r="I95" s="119">
        <v>72.418000000000006</v>
      </c>
    </row>
    <row r="96" spans="1:9" ht="15.75" x14ac:dyDescent="0.4">
      <c r="A96" s="115">
        <v>86</v>
      </c>
      <c r="B96" s="116">
        <v>66.171000000000006</v>
      </c>
      <c r="C96" s="116">
        <v>48.850999999999999</v>
      </c>
      <c r="D96" s="116">
        <v>126.542</v>
      </c>
      <c r="E96" s="116">
        <v>96.840999999999994</v>
      </c>
      <c r="F96" s="117">
        <v>101.38200000000001</v>
      </c>
      <c r="G96" s="117">
        <v>75.98</v>
      </c>
      <c r="H96" s="118">
        <v>106.26</v>
      </c>
      <c r="I96" s="119">
        <v>82.706999999999994</v>
      </c>
    </row>
    <row r="97" spans="1:9" ht="15.75" x14ac:dyDescent="0.4">
      <c r="A97" s="115">
        <v>87</v>
      </c>
      <c r="B97" s="116">
        <v>74.155000000000001</v>
      </c>
      <c r="C97" s="116">
        <v>55.802999999999997</v>
      </c>
      <c r="D97" s="116">
        <v>139.375</v>
      </c>
      <c r="E97" s="116">
        <v>109.07</v>
      </c>
      <c r="F97" s="117">
        <v>113.47499999999999</v>
      </c>
      <c r="G97" s="117">
        <v>87.096999999999994</v>
      </c>
      <c r="H97" s="118">
        <v>118.496</v>
      </c>
      <c r="I97" s="119">
        <v>94.221999999999994</v>
      </c>
    </row>
    <row r="98" spans="1:9" ht="15.75" x14ac:dyDescent="0.4">
      <c r="A98" s="115">
        <v>88</v>
      </c>
      <c r="B98" s="116">
        <v>83.06</v>
      </c>
      <c r="C98" s="116">
        <v>63.71</v>
      </c>
      <c r="D98" s="116">
        <v>153.12899999999999</v>
      </c>
      <c r="E98" s="116">
        <v>122.502</v>
      </c>
      <c r="F98" s="117">
        <v>126.679</v>
      </c>
      <c r="G98" s="117">
        <v>99.561000000000007</v>
      </c>
      <c r="H98" s="118">
        <v>131.80000000000001</v>
      </c>
      <c r="I98" s="119">
        <v>107.039</v>
      </c>
    </row>
    <row r="99" spans="1:9" ht="15.75" x14ac:dyDescent="0.4">
      <c r="A99" s="115">
        <v>89</v>
      </c>
      <c r="B99" s="116">
        <v>92.978999999999999</v>
      </c>
      <c r="C99" s="116">
        <v>72.694999999999993</v>
      </c>
      <c r="D99" s="116">
        <v>167.791</v>
      </c>
      <c r="E99" s="116">
        <v>137.16900000000001</v>
      </c>
      <c r="F99" s="117">
        <v>141.01400000000001</v>
      </c>
      <c r="G99" s="117">
        <v>113.45099999999999</v>
      </c>
      <c r="H99" s="118">
        <v>146.18600000000001</v>
      </c>
      <c r="I99" s="119">
        <v>121.22199999999999</v>
      </c>
    </row>
    <row r="100" spans="1:9" ht="15.75" x14ac:dyDescent="0.4">
      <c r="A100" s="115">
        <v>90</v>
      </c>
      <c r="B100" s="120">
        <v>104.014</v>
      </c>
      <c r="C100" s="120">
        <v>82.89</v>
      </c>
      <c r="D100" s="120">
        <v>183.334</v>
      </c>
      <c r="E100" s="120">
        <v>153.08199999999999</v>
      </c>
      <c r="F100" s="121">
        <v>156.48599999999999</v>
      </c>
      <c r="G100" s="121">
        <v>128.82599999999999</v>
      </c>
      <c r="H100" s="122">
        <v>161.65100000000001</v>
      </c>
      <c r="I100" s="123">
        <v>136.81</v>
      </c>
    </row>
    <row r="101" spans="1:9" ht="15.75" x14ac:dyDescent="0.4">
      <c r="A101" s="115">
        <v>91</v>
      </c>
      <c r="B101" s="120">
        <v>116.27200000000001</v>
      </c>
      <c r="C101" s="120">
        <v>94.44</v>
      </c>
      <c r="D101" s="120">
        <v>199.714</v>
      </c>
      <c r="E101" s="120">
        <v>170.22399999999999</v>
      </c>
      <c r="F101" s="121">
        <v>173.07400000000001</v>
      </c>
      <c r="G101" s="121">
        <v>145.71899999999999</v>
      </c>
      <c r="H101" s="122">
        <v>178.16900000000001</v>
      </c>
      <c r="I101" s="123">
        <v>153.81800000000001</v>
      </c>
    </row>
    <row r="102" spans="1:9" ht="15.75" x14ac:dyDescent="0.4">
      <c r="A102" s="115">
        <v>92</v>
      </c>
      <c r="B102" s="120">
        <v>129.86799999999999</v>
      </c>
      <c r="C102" s="120">
        <v>107.502</v>
      </c>
      <c r="D102" s="120">
        <v>216.86699999999999</v>
      </c>
      <c r="E102" s="120">
        <v>188.55099999999999</v>
      </c>
      <c r="F102" s="121">
        <v>190.73400000000001</v>
      </c>
      <c r="G102" s="121">
        <v>164.126</v>
      </c>
      <c r="H102" s="122">
        <v>195.691</v>
      </c>
      <c r="I102" s="123">
        <v>172.226</v>
      </c>
    </row>
    <row r="103" spans="1:9" ht="15.75" x14ac:dyDescent="0.4">
      <c r="A103" s="115">
        <v>93</v>
      </c>
      <c r="B103" s="120">
        <v>144.91900000000001</v>
      </c>
      <c r="C103" s="120">
        <v>122.247</v>
      </c>
      <c r="D103" s="120">
        <v>234.71</v>
      </c>
      <c r="E103" s="120">
        <v>207.98400000000001</v>
      </c>
      <c r="F103" s="121">
        <v>209.39500000000001</v>
      </c>
      <c r="G103" s="121">
        <v>184.00299999999999</v>
      </c>
      <c r="H103" s="122">
        <v>214.143</v>
      </c>
      <c r="I103" s="123">
        <v>191.977</v>
      </c>
    </row>
    <row r="104" spans="1:9" ht="15.75" x14ac:dyDescent="0.4">
      <c r="A104" s="115">
        <v>94</v>
      </c>
      <c r="B104" s="120">
        <v>161.547</v>
      </c>
      <c r="C104" s="120">
        <v>138.851</v>
      </c>
      <c r="D104" s="120">
        <v>253.142</v>
      </c>
      <c r="E104" s="120">
        <v>228.411</v>
      </c>
      <c r="F104" s="121">
        <v>228.95400000000001</v>
      </c>
      <c r="G104" s="121">
        <v>205.25800000000001</v>
      </c>
      <c r="H104" s="122">
        <v>233.42400000000001</v>
      </c>
      <c r="I104" s="123">
        <v>212.97</v>
      </c>
    </row>
    <row r="105" spans="1:9" ht="15.75" x14ac:dyDescent="0.4">
      <c r="A105" s="115">
        <v>95</v>
      </c>
      <c r="B105" s="120">
        <v>179.874</v>
      </c>
      <c r="C105" s="120">
        <v>157.50200000000001</v>
      </c>
      <c r="D105" s="120">
        <v>272.048</v>
      </c>
      <c r="E105" s="120">
        <v>249.68600000000001</v>
      </c>
      <c r="F105" s="121">
        <v>249.28399999999999</v>
      </c>
      <c r="G105" s="121">
        <v>227.74700000000001</v>
      </c>
      <c r="H105" s="122">
        <v>253.40799999999999</v>
      </c>
      <c r="I105" s="123">
        <v>235.05799999999999</v>
      </c>
    </row>
    <row r="106" spans="1:9" ht="15.75" x14ac:dyDescent="0.4">
      <c r="A106" s="115">
        <v>96</v>
      </c>
      <c r="B106" s="120">
        <v>200.02099999999999</v>
      </c>
      <c r="C106" s="120">
        <v>178.38800000000001</v>
      </c>
      <c r="D106" s="120">
        <v>291.29500000000002</v>
      </c>
      <c r="E106" s="120">
        <v>271.63200000000001</v>
      </c>
      <c r="F106" s="121">
        <v>270.23</v>
      </c>
      <c r="G106" s="121">
        <v>251.27799999999999</v>
      </c>
      <c r="H106" s="122">
        <v>273.947</v>
      </c>
      <c r="I106" s="123">
        <v>258.05200000000002</v>
      </c>
    </row>
    <row r="107" spans="1:9" ht="15.75" x14ac:dyDescent="0.4">
      <c r="A107" s="115">
        <v>97</v>
      </c>
      <c r="B107" s="120">
        <v>222.10400000000001</v>
      </c>
      <c r="C107" s="120">
        <v>201.696</v>
      </c>
      <c r="D107" s="120">
        <v>310.74299999999999</v>
      </c>
      <c r="E107" s="120">
        <v>294.04399999999998</v>
      </c>
      <c r="F107" s="121">
        <v>291.613</v>
      </c>
      <c r="G107" s="121">
        <v>275.61</v>
      </c>
      <c r="H107" s="122">
        <v>294.87099999999998</v>
      </c>
      <c r="I107" s="123">
        <v>281.72399999999999</v>
      </c>
    </row>
    <row r="108" spans="1:9" ht="15.75" x14ac:dyDescent="0.4">
      <c r="A108" s="115">
        <v>98</v>
      </c>
      <c r="B108" s="120">
        <v>246.22900000000001</v>
      </c>
      <c r="C108" s="120">
        <v>227.607</v>
      </c>
      <c r="D108" s="120">
        <v>330.24200000000002</v>
      </c>
      <c r="E108" s="120">
        <v>316.69799999999998</v>
      </c>
      <c r="F108" s="121">
        <v>313.24099999999999</v>
      </c>
      <c r="G108" s="121">
        <v>300.464</v>
      </c>
      <c r="H108" s="122">
        <v>315.99900000000002</v>
      </c>
      <c r="I108" s="123">
        <v>305.81400000000002</v>
      </c>
    </row>
    <row r="109" spans="1:9" ht="15.75" x14ac:dyDescent="0.4">
      <c r="A109" s="115">
        <v>99</v>
      </c>
      <c r="B109" s="120">
        <v>272.48599999999999</v>
      </c>
      <c r="C109" s="120">
        <v>256.279</v>
      </c>
      <c r="D109" s="120">
        <v>349.642</v>
      </c>
      <c r="E109" s="120">
        <v>339.36</v>
      </c>
      <c r="F109" s="121">
        <v>334.90800000000002</v>
      </c>
      <c r="G109" s="121">
        <v>325.53199999999998</v>
      </c>
      <c r="H109" s="122">
        <v>337.14</v>
      </c>
      <c r="I109" s="123">
        <v>330.04199999999997</v>
      </c>
    </row>
    <row r="110" spans="1:9" ht="15.75" x14ac:dyDescent="0.4">
      <c r="A110" s="115">
        <v>100</v>
      </c>
      <c r="B110" s="120">
        <v>300.94400000000002</v>
      </c>
      <c r="C110" s="120">
        <v>287.84399999999999</v>
      </c>
      <c r="D110" s="120">
        <v>368.79599999999999</v>
      </c>
      <c r="E110" s="120">
        <v>361.79399999999998</v>
      </c>
      <c r="F110" s="121">
        <v>356.41</v>
      </c>
      <c r="G110" s="121">
        <v>350.49799999999999</v>
      </c>
      <c r="H110" s="122">
        <v>358.10300000000001</v>
      </c>
      <c r="I110" s="123">
        <v>354.12</v>
      </c>
    </row>
    <row r="111" spans="1:9" ht="15.75" x14ac:dyDescent="0.4">
      <c r="A111" s="115">
        <v>101</v>
      </c>
      <c r="B111" s="120">
        <v>331.642</v>
      </c>
      <c r="C111" s="120">
        <v>322.387</v>
      </c>
      <c r="D111" s="120">
        <v>387.56400000000002</v>
      </c>
      <c r="E111" s="120">
        <v>383.77300000000002</v>
      </c>
      <c r="F111" s="121">
        <v>377.54500000000002</v>
      </c>
      <c r="G111" s="121">
        <v>375.04599999999999</v>
      </c>
      <c r="H111" s="122">
        <v>378.702</v>
      </c>
      <c r="I111" s="123">
        <v>377.767</v>
      </c>
    </row>
    <row r="112" spans="1:9" ht="15.75" x14ac:dyDescent="0.4">
      <c r="A112" s="115">
        <v>102</v>
      </c>
      <c r="B112" s="120">
        <v>364.58199999999999</v>
      </c>
      <c r="C112" s="120">
        <v>359.93299999999999</v>
      </c>
      <c r="D112" s="120">
        <v>405.815</v>
      </c>
      <c r="E112" s="120">
        <v>405.089</v>
      </c>
      <c r="F112" s="121">
        <v>398.12700000000001</v>
      </c>
      <c r="G112" s="121">
        <v>398.88299999999998</v>
      </c>
      <c r="H112" s="122">
        <v>398.76400000000001</v>
      </c>
      <c r="I112" s="123">
        <v>400.72</v>
      </c>
    </row>
    <row r="113" spans="1:9" ht="15.75" x14ac:dyDescent="0.4">
      <c r="A113" s="115">
        <v>103</v>
      </c>
      <c r="B113" s="120">
        <v>399.71499999999997</v>
      </c>
      <c r="C113" s="120">
        <v>400.42500000000001</v>
      </c>
      <c r="D113" s="120">
        <v>423.43700000000001</v>
      </c>
      <c r="E113" s="120">
        <v>425.55700000000002</v>
      </c>
      <c r="F113" s="121">
        <v>417.98700000000002</v>
      </c>
      <c r="G113" s="121">
        <v>421.74799999999999</v>
      </c>
      <c r="H113" s="122">
        <v>418.13499999999999</v>
      </c>
      <c r="I113" s="123">
        <v>422.74900000000002</v>
      </c>
    </row>
    <row r="114" spans="1:9" ht="15.75" x14ac:dyDescent="0.4">
      <c r="A114" s="115">
        <v>104</v>
      </c>
      <c r="B114" s="120">
        <v>433.93799999999999</v>
      </c>
      <c r="C114" s="120">
        <v>440.70699999999999</v>
      </c>
      <c r="D114" s="120">
        <v>440.33</v>
      </c>
      <c r="E114" s="120">
        <v>445.02699999999999</v>
      </c>
      <c r="F114" s="121">
        <v>436.63400000000001</v>
      </c>
      <c r="G114" s="121">
        <v>443.42599999999999</v>
      </c>
      <c r="H114" s="122">
        <v>436.68099999999998</v>
      </c>
      <c r="I114" s="123">
        <v>443.661</v>
      </c>
    </row>
    <row r="115" spans="1:9" ht="16.149999999999999" thickBot="1" x14ac:dyDescent="0.45">
      <c r="A115" s="124">
        <v>105</v>
      </c>
      <c r="B115" s="125">
        <v>1000</v>
      </c>
      <c r="C115" s="125">
        <v>1000</v>
      </c>
      <c r="D115" s="125">
        <v>1000</v>
      </c>
      <c r="E115" s="125">
        <v>1000</v>
      </c>
      <c r="F115" s="126">
        <v>1000</v>
      </c>
      <c r="G115" s="126">
        <v>1000</v>
      </c>
      <c r="H115" s="127">
        <v>1000</v>
      </c>
      <c r="I115" s="128">
        <v>1000</v>
      </c>
    </row>
  </sheetData>
  <mergeCells count="10">
    <mergeCell ref="B1:F1"/>
    <mergeCell ref="B7:C7"/>
    <mergeCell ref="D7:E7"/>
    <mergeCell ref="F7:G7"/>
    <mergeCell ref="H7:I7"/>
    <mergeCell ref="B5:I5"/>
    <mergeCell ref="B6:C6"/>
    <mergeCell ref="D6:E6"/>
    <mergeCell ref="F6:G6"/>
    <mergeCell ref="H6:I6"/>
  </mergeCells>
  <phoneticPr fontId="31" type="noConversion"/>
  <pageMargins left="0.75" right="0.75" top="1" bottom="1" header="0.5" footer="0.5"/>
  <pageSetup paperSize="9" orientation="portrait" verticalDpi="12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23"/>
  <sheetViews>
    <sheetView topLeftCell="B1" zoomScale="70" zoomScaleNormal="70" workbookViewId="0">
      <selection activeCell="M153" sqref="M153"/>
    </sheetView>
  </sheetViews>
  <sheetFormatPr defaultColWidth="9" defaultRowHeight="15.75" x14ac:dyDescent="0.4"/>
  <cols>
    <col min="1" max="2" width="9" style="2"/>
    <col min="3" max="3" width="12.8125" style="2" customWidth="1"/>
    <col min="4" max="4" width="13.5" style="2" customWidth="1"/>
    <col min="5" max="7" width="9" style="2"/>
    <col min="8" max="8" width="9.1875" style="2" customWidth="1"/>
    <col min="9" max="9" width="8.5" style="2" customWidth="1"/>
    <col min="10" max="10" width="9.8125" style="2" customWidth="1"/>
    <col min="11" max="11" width="8.5" style="2" customWidth="1"/>
    <col min="12" max="12" width="10.6875" style="2" customWidth="1"/>
    <col min="13" max="13" width="12" style="2" customWidth="1"/>
    <col min="14" max="14" width="12.1875" style="2" customWidth="1"/>
    <col min="15" max="15" width="9" style="2"/>
    <col min="16" max="16" width="16" style="2" customWidth="1"/>
    <col min="17" max="17" width="10" style="2" customWidth="1"/>
    <col min="18" max="19" width="12.1875" style="2" customWidth="1"/>
    <col min="20" max="20" width="9.1875" style="2" customWidth="1"/>
    <col min="21" max="16384" width="9" style="2"/>
  </cols>
  <sheetData>
    <row r="1" spans="1:21" x14ac:dyDescent="0.4">
      <c r="A1" s="3"/>
      <c r="B1" s="160" t="s">
        <v>60</v>
      </c>
      <c r="C1" s="161"/>
      <c r="D1" s="161"/>
      <c r="E1" s="162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 x14ac:dyDescent="0.4">
      <c r="A2" s="3"/>
      <c r="B2" s="157" t="s">
        <v>57</v>
      </c>
      <c r="C2" s="158">
        <f>Age</f>
        <v>20</v>
      </c>
      <c r="D2" s="158" t="s">
        <v>61</v>
      </c>
      <c r="E2" s="159">
        <f>Cover!J6</f>
        <v>25</v>
      </c>
      <c r="F2" s="16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4">
      <c r="A3" s="3"/>
      <c r="B3" s="148" t="s">
        <v>6</v>
      </c>
      <c r="C3" s="149" t="str">
        <f>Sex</f>
        <v>M</v>
      </c>
      <c r="D3" s="149" t="s">
        <v>24</v>
      </c>
      <c r="E3" s="150">
        <f>Mort_Int</f>
        <v>0.8</v>
      </c>
      <c r="F3" s="16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x14ac:dyDescent="0.4">
      <c r="A4" s="3"/>
      <c r="B4" s="148" t="s">
        <v>17</v>
      </c>
      <c r="C4" s="149">
        <f>PPP</f>
        <v>20</v>
      </c>
      <c r="D4" s="149"/>
      <c r="E4" s="150"/>
      <c r="F4" s="11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 x14ac:dyDescent="0.4">
      <c r="A5" s="3"/>
      <c r="B5" s="148" t="s">
        <v>62</v>
      </c>
      <c r="C5" s="149">
        <f>B</f>
        <v>85</v>
      </c>
      <c r="D5" s="149" t="s">
        <v>162</v>
      </c>
      <c r="E5" s="150">
        <f>Begin_Age</f>
        <v>60</v>
      </c>
      <c r="F5" s="111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x14ac:dyDescent="0.4">
      <c r="A6" s="3"/>
      <c r="B6" s="148" t="s">
        <v>19</v>
      </c>
      <c r="C6" s="151">
        <f>Prem_Int</f>
        <v>2.5000000000000001E-2</v>
      </c>
      <c r="D6" s="149" t="s">
        <v>163</v>
      </c>
      <c r="E6" s="150">
        <f>End_Age</f>
        <v>80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 x14ac:dyDescent="0.4">
      <c r="A7" s="3"/>
      <c r="B7" s="148" t="s">
        <v>63</v>
      </c>
      <c r="C7" s="149">
        <f ca="1">E10</f>
        <v>637.33920027385614</v>
      </c>
      <c r="D7" s="149" t="s">
        <v>64</v>
      </c>
      <c r="E7" s="150">
        <f>AB_rate</f>
        <v>1.19</v>
      </c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1" x14ac:dyDescent="0.4">
      <c r="A8" s="3"/>
      <c r="B8" s="148" t="s">
        <v>65</v>
      </c>
      <c r="C8" s="149">
        <f>Face_Amt</f>
        <v>1000</v>
      </c>
      <c r="D8" s="149" t="s">
        <v>66</v>
      </c>
      <c r="E8" s="150">
        <f>GB_rate</f>
        <v>1.19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1" x14ac:dyDescent="0.4">
      <c r="A9" s="3"/>
      <c r="B9" s="148"/>
      <c r="C9" s="149"/>
      <c r="D9" s="149"/>
      <c r="E9" s="152" t="s">
        <v>8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1" x14ac:dyDescent="0.4">
      <c r="A10" s="3"/>
      <c r="B10" s="154"/>
      <c r="C10" s="155"/>
      <c r="D10" s="165" t="s">
        <v>67</v>
      </c>
      <c r="E10" s="166">
        <f ca="1">IF(OR(B&gt;BPP,B&lt;End_Age-Age),0,E11*SUM(R18:R124)/(SUM(R18:R124)-SUM(S18:S124)))</f>
        <v>637.33920027385341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ht="16.149999999999999" thickBot="1" x14ac:dyDescent="0.45">
      <c r="A11" s="3"/>
      <c r="B11" s="163"/>
      <c r="C11" s="164"/>
      <c r="D11" s="156" t="s">
        <v>68</v>
      </c>
      <c r="E11" s="167">
        <f ca="1">(SUM(P18:P124)+SUM(Q18:Q124))/SUM(R18:R124)</f>
        <v>590.97162678565724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4">
      <c r="A12" s="168"/>
      <c r="B12" s="168"/>
      <c r="C12" s="168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4">
      <c r="A13" s="168"/>
      <c r="B13" s="168"/>
      <c r="C13" s="168"/>
      <c r="D13" s="3"/>
      <c r="E13" s="3"/>
      <c r="F13" s="3"/>
      <c r="G13" s="3"/>
      <c r="H13" s="172" t="s">
        <v>69</v>
      </c>
      <c r="I13" s="172" t="s">
        <v>69</v>
      </c>
      <c r="J13" s="172" t="s">
        <v>70</v>
      </c>
      <c r="K13" s="172" t="s">
        <v>70</v>
      </c>
      <c r="L13" s="172" t="s">
        <v>69</v>
      </c>
      <c r="M13" s="172" t="s">
        <v>70</v>
      </c>
      <c r="N13" s="172" t="s">
        <v>70</v>
      </c>
      <c r="O13" s="3"/>
      <c r="P13" s="3"/>
      <c r="Q13" s="3"/>
      <c r="R13" s="3"/>
      <c r="S13" s="3"/>
      <c r="T13" s="3"/>
      <c r="U13" s="3"/>
    </row>
    <row r="14" spans="1:21" x14ac:dyDescent="0.4">
      <c r="A14" s="168"/>
      <c r="B14" s="169"/>
      <c r="C14" s="168"/>
      <c r="D14" s="168"/>
      <c r="E14" s="168"/>
      <c r="F14" s="169"/>
      <c r="G14" s="169"/>
      <c r="H14" s="169"/>
      <c r="I14" s="168"/>
      <c r="J14" s="168"/>
      <c r="K14" s="168"/>
      <c r="L14" s="169"/>
      <c r="M14" s="169"/>
      <c r="N14" s="169"/>
      <c r="O14" s="168"/>
      <c r="P14" s="168"/>
      <c r="Q14" s="168"/>
      <c r="R14" s="169"/>
      <c r="S14" s="168"/>
      <c r="T14" s="3"/>
      <c r="U14" s="3"/>
    </row>
    <row r="15" spans="1:21" x14ac:dyDescent="0.4">
      <c r="A15" s="173"/>
      <c r="B15" s="174"/>
      <c r="C15" s="175" t="s">
        <v>71</v>
      </c>
      <c r="D15" s="176" t="s">
        <v>72</v>
      </c>
      <c r="E15" s="177"/>
      <c r="F15" s="176" t="s">
        <v>73</v>
      </c>
      <c r="G15" s="177"/>
      <c r="H15" s="176" t="s">
        <v>74</v>
      </c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7"/>
    </row>
    <row r="16" spans="1:21" s="170" customFormat="1" x14ac:dyDescent="0.4">
      <c r="A16" s="179" t="s">
        <v>75</v>
      </c>
      <c r="B16" s="180" t="s">
        <v>76</v>
      </c>
      <c r="C16" s="181" t="s">
        <v>77</v>
      </c>
      <c r="D16" s="182" t="s">
        <v>78</v>
      </c>
      <c r="E16" s="183" t="s">
        <v>79</v>
      </c>
      <c r="F16" s="182" t="s">
        <v>80</v>
      </c>
      <c r="G16" s="183" t="s">
        <v>78</v>
      </c>
      <c r="H16" s="182" t="s">
        <v>81</v>
      </c>
      <c r="I16" s="184" t="s">
        <v>82</v>
      </c>
      <c r="J16" s="184" t="s">
        <v>83</v>
      </c>
      <c r="K16" s="184" t="s">
        <v>84</v>
      </c>
      <c r="L16" s="185" t="s">
        <v>85</v>
      </c>
      <c r="M16" s="185" t="s">
        <v>86</v>
      </c>
      <c r="N16" s="185" t="s">
        <v>87</v>
      </c>
      <c r="O16" s="185"/>
      <c r="P16" s="185" t="s">
        <v>88</v>
      </c>
      <c r="Q16" s="185" t="s">
        <v>89</v>
      </c>
      <c r="R16" s="185" t="s">
        <v>90</v>
      </c>
      <c r="S16" s="185" t="s">
        <v>90</v>
      </c>
      <c r="T16" s="185"/>
      <c r="U16" s="183"/>
    </row>
    <row r="17" spans="1:21" x14ac:dyDescent="0.4">
      <c r="A17" s="186" t="s">
        <v>91</v>
      </c>
      <c r="B17" s="187" t="s">
        <v>57</v>
      </c>
      <c r="C17" s="188" t="s">
        <v>92</v>
      </c>
      <c r="D17" s="189" t="s">
        <v>93</v>
      </c>
      <c r="E17" s="187" t="s">
        <v>94</v>
      </c>
      <c r="F17" s="189" t="s">
        <v>95</v>
      </c>
      <c r="G17" s="187" t="s">
        <v>96</v>
      </c>
      <c r="H17" s="189" t="s">
        <v>97</v>
      </c>
      <c r="I17" s="190" t="s">
        <v>98</v>
      </c>
      <c r="J17" s="190" t="s">
        <v>99</v>
      </c>
      <c r="K17" s="190" t="s">
        <v>100</v>
      </c>
      <c r="L17" s="190" t="s">
        <v>101</v>
      </c>
      <c r="M17" s="190" t="s">
        <v>102</v>
      </c>
      <c r="N17" s="190" t="s">
        <v>103</v>
      </c>
      <c r="O17" s="190" t="s">
        <v>104</v>
      </c>
      <c r="P17" s="190" t="s">
        <v>105</v>
      </c>
      <c r="Q17" s="190" t="s">
        <v>106</v>
      </c>
      <c r="R17" s="190" t="s">
        <v>107</v>
      </c>
      <c r="S17" s="190" t="s">
        <v>108</v>
      </c>
      <c r="T17" s="190" t="s">
        <v>109</v>
      </c>
      <c r="U17" s="187" t="s">
        <v>110</v>
      </c>
    </row>
    <row r="18" spans="1:21" x14ac:dyDescent="0.4">
      <c r="A18" s="168">
        <f t="shared" ref="A18:A49" si="0">IF(B18&lt;=Age+B,B18-Age+1,"")</f>
        <v>1</v>
      </c>
      <c r="B18" s="168">
        <f>IFERROR(IF(AND(Age&gt;=0,Age&lt;=60),Age,""),"")</f>
        <v>20</v>
      </c>
      <c r="C18" s="168">
        <f ca="1">IFERROR(MIN(VLOOKUP(B18,INDIRECT("mort_alb_"&amp;Cover!$J$4),IF(Sex="M",2,3))/1000,1)*Mort_Int,"")</f>
        <v>1.64E-4</v>
      </c>
      <c r="D18" s="168">
        <f t="shared" ref="D18:D81" ca="1" si="1">IFERROR(E18*C18,"")</f>
        <v>1.64E-4</v>
      </c>
      <c r="E18" s="168">
        <f t="shared" ref="E18:E49" si="2">IFERROR(IF(B18&lt;=Age+B,IF(A18=1,1,E17-D17),""),"")</f>
        <v>1</v>
      </c>
      <c r="F18" s="168">
        <f ca="1">IFERROR(D18/(1+Prem_Int)^(B18+1),"")</f>
        <v>9.7643350857412866E-5</v>
      </c>
      <c r="G18" s="168">
        <f t="shared" ref="G18:G49" si="3">IFERROR(E18/(1+Prem_Int)^B18,"")</f>
        <v>0.61027094285883032</v>
      </c>
      <c r="H18" s="168">
        <f>IFERROR(IF(B18&lt;=Age+B,IF(A18&lt;=PPP,1,0),""),"")</f>
        <v>1</v>
      </c>
      <c r="I18" s="168">
        <f>IFERROR(IF(B18&lt;=Age+B,IF(AND(B18&gt;=Begin_Age,A18&lt;=B+1),AB_rate,0),""),"")</f>
        <v>0</v>
      </c>
      <c r="J18" s="168">
        <f>IFERROR(IF(B18&lt;=Age+B,IF(AND(B18&gt;=Begin_Age,B18&lt;End_Age),GB_rate,0),""),"")</f>
        <v>0</v>
      </c>
      <c r="K18" s="168">
        <f t="shared" ref="K18:K49" si="4">IFERROR(IF(B18&lt;=Age+B,IF(B18&lt;Begin_Age,1,0),""),"")</f>
        <v>1</v>
      </c>
      <c r="L18" s="168">
        <f t="shared" ref="L18:L49" si="5">IFERROR(IF(B18&lt;=Age+B,I18*Face_Amt,""),"")</f>
        <v>0</v>
      </c>
      <c r="M18" s="168">
        <f>IFERROR(IF(B18&lt;=Age+B,J18*Face_Amt*(End_Age-B18-1),""),"")</f>
        <v>0</v>
      </c>
      <c r="N18" s="168">
        <f ca="1">IFERROR(IF(B18&lt;=Age+B,MAX(MIN(A18,PPP)*Gross_Premium,CV!Z19+L19)*K18,""),"")</f>
        <v>637.33920027385341</v>
      </c>
      <c r="O18" s="171" cm="1">
        <f t="array" ref="O18">IFERROR(IF(B18&lt;=Age+B,VLOOKUP(IF(PPP&lt;20,PPP,"20+"),Exp_load_Prem,_xlfn.IFS(A18=1,1,A18=2,2,A18=3,3,OR(A18=4,A18=5),4,AND(A18&gt;=6,A18&lt;=10),5,AND(A18&gt;=11,A18&lt;=PPP),6,A18&gt;PPP,7)+1,FALSE),""),"")</f>
        <v>0.3</v>
      </c>
      <c r="P18" s="168">
        <f t="shared" ref="P18:P49" ca="1" si="6">IFERROR(IF(B18&lt;=Age+B,(M18+N18)*F18,""),"")</f>
        <v>6.2231935147522795E-2</v>
      </c>
      <c r="Q18" s="168">
        <f t="shared" ref="Q18:Q49" si="7">IFERROR(IF(B18&lt;=Age+B,L18*G18,""),"")</f>
        <v>0</v>
      </c>
      <c r="R18" s="168">
        <f t="shared" ref="R18:R49" si="8">IFERROR(IF(B18&lt;=Age+B,H18*G18,""),"")</f>
        <v>0.61027094285883032</v>
      </c>
      <c r="S18" s="168">
        <f t="shared" ref="S18:S49" si="9">IFERROR(IF(B18&lt;=Age+B,R18*O18,""),"")</f>
        <v>0.1830812828576491</v>
      </c>
      <c r="T18" s="168">
        <f ca="1">IFERROR(IF(B18&lt;=Age+B,U18*(1-O18),""),"")</f>
        <v>446.13744019169928</v>
      </c>
      <c r="U18" s="168">
        <f t="shared" ref="U18:U49" ca="1" si="10">IFERROR(IF(B18&lt;=Age+B,$E$10*H18,""),"")</f>
        <v>637.33920027385341</v>
      </c>
    </row>
    <row r="19" spans="1:21" x14ac:dyDescent="0.4">
      <c r="A19" s="168">
        <f t="shared" si="0"/>
        <v>2</v>
      </c>
      <c r="B19" s="168">
        <f t="shared" ref="B19:B50" si="11">IFERROR(IF(AND(Age&gt;=0,Age&lt;=60),IF(B18+1&lt;=Age+B,B18+1,""),""),"")</f>
        <v>21</v>
      </c>
      <c r="C19" s="168">
        <f ca="1">IFERROR(MIN(VLOOKUP(B19,INDIRECT("mort_alb_"&amp;Cover!$J$4),IF(Sex="M",2,3))/1000,1)*Mort_Int,"")</f>
        <v>1.7440000000000001E-4</v>
      </c>
      <c r="D19" s="168">
        <f t="shared" ca="1" si="1"/>
        <v>1.7437139839999999E-4</v>
      </c>
      <c r="E19" s="168">
        <f t="shared" ca="1" si="2"/>
        <v>0.99983599999999995</v>
      </c>
      <c r="F19" s="168">
        <f t="shared" ref="F19:F49" ca="1" si="12">IFERROR(D19/(1+Prem_Int)^(B19+1),"")</f>
        <v>1.0128618461314051E-4</v>
      </c>
      <c r="G19" s="168">
        <f t="shared" ca="1" si="3"/>
        <v>0.59528864236507473</v>
      </c>
      <c r="H19" s="168">
        <f t="shared" ref="H19:H49" si="13">IFERROR(IF(B19&lt;=Age+B,IF(A19&lt;=PPP,1,0),""),"")</f>
        <v>1</v>
      </c>
      <c r="I19" s="168">
        <f t="shared" ref="I19:I49" si="14">IFERROR(IF(B19&lt;=Age+B,IF(AND(B19&gt;=Begin_Age,A19&lt;=B+1),AB_rate,0),""),"")</f>
        <v>0</v>
      </c>
      <c r="J19" s="168">
        <f>IFERROR(IF(B19&lt;=Age+B,IF(AND(B19&gt;=Begin_Age,B19&lt;End_Age),GB_rate,0),""),"")</f>
        <v>0</v>
      </c>
      <c r="K19" s="168">
        <f t="shared" si="4"/>
        <v>1</v>
      </c>
      <c r="L19" s="168">
        <f t="shared" si="5"/>
        <v>0</v>
      </c>
      <c r="M19" s="168">
        <f>IFERROR(IF(B19&lt;=Age+B,J19*Face_Amt*(End_Age-B19-1),""),"")</f>
        <v>0</v>
      </c>
      <c r="N19" s="168">
        <f ca="1">IFERROR(IF(B19&lt;=Age+B,MAX(MIN(A19,PPP)*Gross_Premium,CV!Z20+L20)*K19,""),"")</f>
        <v>1274.6784005477068</v>
      </c>
      <c r="O19" s="171" cm="1">
        <f t="array" ref="O19">IFERROR(IF(B19&lt;=Age+B,VLOOKUP(IF(PPP&lt;20,PPP,"20+"),Exp_load_Prem,_xlfn.IFS(A19=1,1,A19=2,2,A19=3,3,OR(A19=4,A19=5),4,AND(A19&gt;=6,A19&lt;=10),5,AND(A19&gt;=11,A19&lt;=PPP),6,A19&gt;PPP,7)+1,FALSE),""),"")</f>
        <v>0.08</v>
      </c>
      <c r="P19" s="168">
        <f t="shared" ca="1" si="6"/>
        <v>0.1291073118002577</v>
      </c>
      <c r="Q19" s="168">
        <f t="shared" ca="1" si="7"/>
        <v>0</v>
      </c>
      <c r="R19" s="168">
        <f t="shared" ca="1" si="8"/>
        <v>0.59528864236507473</v>
      </c>
      <c r="S19" s="168">
        <f t="shared" ca="1" si="9"/>
        <v>4.7623091389205979E-2</v>
      </c>
      <c r="T19" s="168">
        <f t="shared" ref="T19:T49" ca="1" si="15">IFERROR(IF(B19&lt;=Age+B,U19*(1-O19),""),"")</f>
        <v>586.3520642519477</v>
      </c>
      <c r="U19" s="168">
        <f t="shared" ca="1" si="10"/>
        <v>637.33920027385341</v>
      </c>
    </row>
    <row r="20" spans="1:21" x14ac:dyDescent="0.4">
      <c r="A20" s="168">
        <f t="shared" si="0"/>
        <v>3</v>
      </c>
      <c r="B20" s="168">
        <f t="shared" si="11"/>
        <v>22</v>
      </c>
      <c r="C20" s="168">
        <f ca="1">IFERROR(MIN(VLOOKUP(B20,INDIRECT("mort_alb_"&amp;Cover!$J$4),IF(Sex="M",2,3))/1000,1)*Mort_Int,"")</f>
        <v>1.8480000000000002E-4</v>
      </c>
      <c r="D20" s="168">
        <f t="shared" ca="1" si="1"/>
        <v>1.8473746896557569E-4</v>
      </c>
      <c r="E20" s="168">
        <f t="shared" ca="1" si="2"/>
        <v>0.99966162860159991</v>
      </c>
      <c r="F20" s="168">
        <f t="shared" ca="1" si="12"/>
        <v>1.0469021342531959E-4</v>
      </c>
      <c r="G20" s="168">
        <f t="shared" ca="1" si="3"/>
        <v>0.58066812100082554</v>
      </c>
      <c r="H20" s="168">
        <f t="shared" si="13"/>
        <v>1</v>
      </c>
      <c r="I20" s="168">
        <f t="shared" si="14"/>
        <v>0</v>
      </c>
      <c r="J20" s="168">
        <f>IFERROR(IF(B20&lt;=Age+B,IF(AND(B20&gt;=Begin_Age,B20&lt;End_Age),GB_rate,0),""),"")</f>
        <v>0</v>
      </c>
      <c r="K20" s="168">
        <f t="shared" si="4"/>
        <v>1</v>
      </c>
      <c r="L20" s="168">
        <f t="shared" si="5"/>
        <v>0</v>
      </c>
      <c r="M20" s="168">
        <f>IFERROR(IF(B20&lt;=Age+B,J20*Face_Amt*(End_Age-B20-1),""),"")</f>
        <v>0</v>
      </c>
      <c r="N20" s="168">
        <f ca="1">IFERROR(IF(B20&lt;=Age+B,MAX(MIN(A20,PPP)*Gross_Premium,CV!Z21+L21)*K20,""),"")</f>
        <v>1912.0176008215603</v>
      </c>
      <c r="O20" s="171" cm="1">
        <f t="array" ref="O20">IFERROR(IF(B20&lt;=Age+B,VLOOKUP(IF(PPP&lt;20,PPP,"20+"),Exp_load_Prem,_xlfn.IFS(A20=1,1,A20=2,2,A20=3,3,OR(A20=4,A20=5),4,AND(A20&gt;=6,A20&lt;=10),5,AND(A20&gt;=11,A20&lt;=PPP),6,A20&gt;PPP,7)+1,FALSE),""),"")</f>
        <v>0.08</v>
      </c>
      <c r="P20" s="168">
        <f t="shared" ca="1" si="6"/>
        <v>0.20016953070297666</v>
      </c>
      <c r="Q20" s="168">
        <f t="shared" ca="1" si="7"/>
        <v>0</v>
      </c>
      <c r="R20" s="168">
        <f t="shared" ca="1" si="8"/>
        <v>0.58066812100082554</v>
      </c>
      <c r="S20" s="168">
        <f t="shared" ca="1" si="9"/>
        <v>4.6453449680066046E-2</v>
      </c>
      <c r="T20" s="168">
        <f t="shared" ca="1" si="15"/>
        <v>586.3520642519477</v>
      </c>
      <c r="U20" s="168">
        <f t="shared" ca="1" si="10"/>
        <v>637.33920027385341</v>
      </c>
    </row>
    <row r="21" spans="1:21" x14ac:dyDescent="0.4">
      <c r="A21" s="168">
        <f t="shared" si="0"/>
        <v>4</v>
      </c>
      <c r="B21" s="168">
        <f t="shared" si="11"/>
        <v>23</v>
      </c>
      <c r="C21" s="168">
        <f ca="1">IFERROR(MIN(VLOOKUP(B21,INDIRECT("mort_alb_"&amp;Cover!$J$4),IF(Sex="M",2,3))/1000,1)*Mort_Int,"")</f>
        <v>1.9440000000000001E-4</v>
      </c>
      <c r="D21" s="168">
        <f t="shared" ca="1" si="1"/>
        <v>1.9429830763618413E-4</v>
      </c>
      <c r="E21" s="168">
        <f t="shared" ca="1" si="2"/>
        <v>0.99947689113263438</v>
      </c>
      <c r="F21" s="168">
        <f t="shared" ca="1" si="12"/>
        <v>1.0742274565200084E-4</v>
      </c>
      <c r="G21" s="168">
        <f t="shared" ca="1" si="3"/>
        <v>0.5664007936898191</v>
      </c>
      <c r="H21" s="168">
        <f t="shared" si="13"/>
        <v>1</v>
      </c>
      <c r="I21" s="168">
        <f t="shared" si="14"/>
        <v>0</v>
      </c>
      <c r="J21" s="168">
        <f>IFERROR(IF(B21&lt;=Age+B,IF(AND(B21&gt;=Begin_Age,B21&lt;End_Age),GB_rate,0),""),"")</f>
        <v>0</v>
      </c>
      <c r="K21" s="168">
        <f t="shared" si="4"/>
        <v>1</v>
      </c>
      <c r="L21" s="168">
        <f t="shared" si="5"/>
        <v>0</v>
      </c>
      <c r="M21" s="168">
        <f>IFERROR(IF(B21&lt;=Age+B,J21*Face_Amt*(End_Age-B21-1),""),"")</f>
        <v>0</v>
      </c>
      <c r="N21" s="168">
        <f ca="1">IFERROR(IF(B21&lt;=Age+B,MAX(MIN(A21,PPP)*Gross_Premium,CV!Z22+L22)*K21,""),"")</f>
        <v>2549.3568010954136</v>
      </c>
      <c r="O21" s="171" cm="1">
        <f t="array" ref="O21">IFERROR(IF(B21&lt;=Age+B,VLOOKUP(IF(PPP&lt;20,PPP,"20+"),Exp_load_Prem,_xlfn.IFS(A21=1,1,A21=2,2,A21=3,3,OR(A21=4,A21=5),4,AND(A21&gt;=6,A21&lt;=10),5,AND(A21&gt;=11,A21&lt;=PPP),6,A21&gt;PPP,7)+1,FALSE),""),"")</f>
        <v>0.08</v>
      </c>
      <c r="P21" s="168">
        <f t="shared" ca="1" si="6"/>
        <v>0.27385890722027112</v>
      </c>
      <c r="Q21" s="168">
        <f t="shared" ca="1" si="7"/>
        <v>0</v>
      </c>
      <c r="R21" s="168">
        <f t="shared" ca="1" si="8"/>
        <v>0.5664007936898191</v>
      </c>
      <c r="S21" s="168">
        <f t="shared" ca="1" si="9"/>
        <v>4.5312063495185531E-2</v>
      </c>
      <c r="T21" s="168">
        <f t="shared" ca="1" si="15"/>
        <v>586.3520642519477</v>
      </c>
      <c r="U21" s="168">
        <f t="shared" ca="1" si="10"/>
        <v>637.33920027385341</v>
      </c>
    </row>
    <row r="22" spans="1:21" x14ac:dyDescent="0.4">
      <c r="A22" s="168">
        <f t="shared" si="0"/>
        <v>5</v>
      </c>
      <c r="B22" s="168">
        <f t="shared" si="11"/>
        <v>24</v>
      </c>
      <c r="C22" s="168">
        <f ca="1">IFERROR(MIN(VLOOKUP(B22,INDIRECT("mort_alb_"&amp;Cover!$J$4),IF(Sex="M",2,3))/1000,1)*Mort_Int,"")</f>
        <v>2.0320000000000001E-4</v>
      </c>
      <c r="D22" s="168">
        <f t="shared" ca="1" si="1"/>
        <v>2.0305422286203965E-4</v>
      </c>
      <c r="E22" s="168">
        <f t="shared" ca="1" si="2"/>
        <v>0.99928259282499821</v>
      </c>
      <c r="F22" s="168">
        <f t="shared" ca="1" si="12"/>
        <v>1.0952553695972101E-4</v>
      </c>
      <c r="G22" s="168">
        <f t="shared" ca="1" si="3"/>
        <v>0.55247871743953747</v>
      </c>
      <c r="H22" s="168">
        <f t="shared" si="13"/>
        <v>1</v>
      </c>
      <c r="I22" s="168">
        <f t="shared" si="14"/>
        <v>0</v>
      </c>
      <c r="J22" s="168">
        <f>IFERROR(IF(B22&lt;=Age+B,IF(AND(B22&gt;=Begin_Age,B22&lt;End_Age),GB_rate,0),""),"")</f>
        <v>0</v>
      </c>
      <c r="K22" s="168">
        <f t="shared" si="4"/>
        <v>1</v>
      </c>
      <c r="L22" s="168">
        <f t="shared" si="5"/>
        <v>0</v>
      </c>
      <c r="M22" s="168">
        <f>IFERROR(IF(B22&lt;=Age+B,J22*Face_Amt*(End_Age-B22-1),""),"")</f>
        <v>0</v>
      </c>
      <c r="N22" s="168">
        <f ca="1">IFERROR(IF(B22&lt;=Age+B,MAX(MIN(A22,PPP)*Gross_Premium,CV!Z23+L23)*K22,""),"")</f>
        <v>3186.6960013692669</v>
      </c>
      <c r="O22" s="171" cm="1">
        <f t="array" ref="O22">IFERROR(IF(B22&lt;=Age+B,VLOOKUP(IF(PPP&lt;20,PPP,"20+"),Exp_load_Prem,_xlfn.IFS(A22=1,1,A22=2,2,A22=3,3,OR(A22=4,A22=5),4,AND(A22&gt;=6,A22&lt;=10),5,AND(A22&gt;=11,A22&lt;=PPP),6,A22&gt;PPP,7)+1,FALSE),""),"")</f>
        <v>0.08</v>
      </c>
      <c r="P22" s="168">
        <f t="shared" ca="1" si="6"/>
        <v>0.3490245906773648</v>
      </c>
      <c r="Q22" s="168">
        <f t="shared" ca="1" si="7"/>
        <v>0</v>
      </c>
      <c r="R22" s="168">
        <f t="shared" ca="1" si="8"/>
        <v>0.55247871743953747</v>
      </c>
      <c r="S22" s="168">
        <f t="shared" ca="1" si="9"/>
        <v>4.4198297395162997E-2</v>
      </c>
      <c r="T22" s="168">
        <f t="shared" ca="1" si="15"/>
        <v>586.3520642519477</v>
      </c>
      <c r="U22" s="168">
        <f t="shared" ca="1" si="10"/>
        <v>637.33920027385341</v>
      </c>
    </row>
    <row r="23" spans="1:21" x14ac:dyDescent="0.4">
      <c r="A23" s="168">
        <f t="shared" si="0"/>
        <v>6</v>
      </c>
      <c r="B23" s="168">
        <f t="shared" si="11"/>
        <v>25</v>
      </c>
      <c r="C23" s="168">
        <f ca="1">IFERROR(MIN(VLOOKUP(B23,INDIRECT("mort_alb_"&amp;Cover!$J$4),IF(Sex="M",2,3))/1000,1)*Mort_Int,"")</f>
        <v>2.1280000000000002E-4</v>
      </c>
      <c r="D23" s="168">
        <f t="shared" ca="1" si="1"/>
        <v>2.126041258145346E-4</v>
      </c>
      <c r="E23" s="168">
        <f t="shared" ca="1" si="2"/>
        <v>0.99907953860213616</v>
      </c>
      <c r="F23" s="168">
        <f t="shared" ca="1" si="12"/>
        <v>1.1187967291946408E-4</v>
      </c>
      <c r="G23" s="168">
        <f t="shared" ca="1" si="3"/>
        <v>0.53889410123332082</v>
      </c>
      <c r="H23" s="168">
        <f t="shared" si="13"/>
        <v>1</v>
      </c>
      <c r="I23" s="168">
        <f t="shared" si="14"/>
        <v>0</v>
      </c>
      <c r="J23" s="168">
        <f>IFERROR(IF(B23&lt;=Age+B,IF(AND(B23&gt;=Begin_Age,B23&lt;End_Age),GB_rate,0),""),"")</f>
        <v>0</v>
      </c>
      <c r="K23" s="168">
        <f t="shared" si="4"/>
        <v>1</v>
      </c>
      <c r="L23" s="168">
        <f t="shared" si="5"/>
        <v>0</v>
      </c>
      <c r="M23" s="168">
        <f>IFERROR(IF(B23&lt;=Age+B,J23*Face_Amt*(End_Age-B23-1),""),"")</f>
        <v>0</v>
      </c>
      <c r="N23" s="168">
        <f ca="1">IFERROR(IF(B23&lt;=Age+B,MAX(MIN(A23,PPP)*Gross_Premium,CV!Z24+L24)*K23,""),"")</f>
        <v>3824.0352016431207</v>
      </c>
      <c r="O23" s="171" cm="1">
        <f t="array" ref="O23">IFERROR(IF(B23&lt;=Age+B,VLOOKUP(IF(PPP&lt;20,PPP,"20+"),Exp_load_Prem,_xlfn.IFS(A23=1,1,A23=2,2,A23=3,3,OR(A23=4,A23=5),4,AND(A23&gt;=6,A23&lt;=10),5,AND(A23&gt;=11,A23&lt;=PPP),6,A23&gt;PPP,7)+1,FALSE),""),"")</f>
        <v>0.05</v>
      </c>
      <c r="P23" s="168">
        <f t="shared" ca="1" si="6"/>
        <v>0.42783180759234918</v>
      </c>
      <c r="Q23" s="168">
        <f t="shared" ca="1" si="7"/>
        <v>0</v>
      </c>
      <c r="R23" s="168">
        <f t="shared" ca="1" si="8"/>
        <v>0.53889410123332082</v>
      </c>
      <c r="S23" s="168">
        <f t="shared" ca="1" si="9"/>
        <v>2.6944705061666043E-2</v>
      </c>
      <c r="T23" s="168">
        <f t="shared" ca="1" si="15"/>
        <v>605.47224026016329</v>
      </c>
      <c r="U23" s="168">
        <f t="shared" ca="1" si="10"/>
        <v>637.33920027385341</v>
      </c>
    </row>
    <row r="24" spans="1:21" x14ac:dyDescent="0.4">
      <c r="A24" s="168">
        <f t="shared" si="0"/>
        <v>7</v>
      </c>
      <c r="B24" s="168">
        <f t="shared" si="11"/>
        <v>26</v>
      </c>
      <c r="C24" s="168">
        <f ca="1">IFERROR(MIN(VLOOKUP(B24,INDIRECT("mort_alb_"&amp;Cover!$J$4),IF(Sex="M",2,3))/1000,1)*Mort_Int,"")</f>
        <v>2.232E-4</v>
      </c>
      <c r="D24" s="168">
        <f t="shared" ca="1" si="1"/>
        <v>2.2294709977511499E-4</v>
      </c>
      <c r="E24" s="168">
        <f t="shared" ca="1" si="2"/>
        <v>0.99886693447632158</v>
      </c>
      <c r="F24" s="168">
        <f t="shared" ca="1" si="12"/>
        <v>1.1446098042946503E-4</v>
      </c>
      <c r="G24" s="168">
        <f t="shared" ca="1" si="3"/>
        <v>0.52563846299373496</v>
      </c>
      <c r="H24" s="168">
        <f t="shared" si="13"/>
        <v>1</v>
      </c>
      <c r="I24" s="168">
        <f t="shared" si="14"/>
        <v>0</v>
      </c>
      <c r="J24" s="168">
        <f>IFERROR(IF(B24&lt;=Age+B,IF(AND(B24&gt;=Begin_Age,B24&lt;End_Age),GB_rate,0),""),"")</f>
        <v>0</v>
      </c>
      <c r="K24" s="168">
        <f t="shared" si="4"/>
        <v>1</v>
      </c>
      <c r="L24" s="168">
        <f t="shared" si="5"/>
        <v>0</v>
      </c>
      <c r="M24" s="168">
        <f>IFERROR(IF(B24&lt;=Age+B,J24*Face_Amt*(End_Age-B24-1),""),"")</f>
        <v>0</v>
      </c>
      <c r="N24" s="168">
        <f ca="1">IFERROR(IF(B24&lt;=Age+B,MAX(MIN(A24,PPP)*Gross_Premium,CV!Z25+L25)*K24,""),"")</f>
        <v>4461.3744019169735</v>
      </c>
      <c r="O24" s="171" cm="1">
        <f t="array" ref="O24">IFERROR(IF(B24&lt;=Age+B,VLOOKUP(IF(PPP&lt;20,PPP,"20+"),Exp_load_Prem,_xlfn.IFS(A24=1,1,A24=2,2,A24=3,3,OR(A24=4,A24=5),4,AND(A24&gt;=6,A24&lt;=10),5,AND(A24&gt;=11,A24&lt;=PPP),6,A24&gt;PPP,7)+1,FALSE),""),"")</f>
        <v>0.05</v>
      </c>
      <c r="P24" s="168">
        <f t="shared" ca="1" si="6"/>
        <v>0.51065328810633492</v>
      </c>
      <c r="Q24" s="168">
        <f t="shared" ca="1" si="7"/>
        <v>0</v>
      </c>
      <c r="R24" s="168">
        <f t="shared" ca="1" si="8"/>
        <v>0.52563846299373496</v>
      </c>
      <c r="S24" s="168">
        <f t="shared" ca="1" si="9"/>
        <v>2.6281923149686748E-2</v>
      </c>
      <c r="T24" s="168">
        <f t="shared" ca="1" si="15"/>
        <v>605.47224026016329</v>
      </c>
      <c r="U24" s="168">
        <f t="shared" ca="1" si="10"/>
        <v>637.33920027385341</v>
      </c>
    </row>
    <row r="25" spans="1:21" x14ac:dyDescent="0.4">
      <c r="A25" s="168">
        <f t="shared" si="0"/>
        <v>8</v>
      </c>
      <c r="B25" s="168">
        <f t="shared" si="11"/>
        <v>27</v>
      </c>
      <c r="C25" s="168">
        <f ca="1">IFERROR(MIN(VLOOKUP(B25,INDIRECT("mort_alb_"&amp;Cover!$J$4),IF(Sex="M",2,3))/1000,1)*Mort_Int,"")</f>
        <v>2.3360000000000001E-4</v>
      </c>
      <c r="D25" s="168">
        <f t="shared" ca="1" si="1"/>
        <v>2.3328323545116126E-4</v>
      </c>
      <c r="E25" s="168">
        <f t="shared" ca="1" si="2"/>
        <v>0.99864398737654647</v>
      </c>
      <c r="F25" s="168">
        <f t="shared" ca="1" si="12"/>
        <v>1.1684638992807374E-4</v>
      </c>
      <c r="G25" s="168">
        <f t="shared" ca="1" si="3"/>
        <v>0.51270355169638515</v>
      </c>
      <c r="H25" s="168">
        <f t="shared" si="13"/>
        <v>1</v>
      </c>
      <c r="I25" s="168">
        <f t="shared" si="14"/>
        <v>0</v>
      </c>
      <c r="J25" s="168">
        <f>IFERROR(IF(B25&lt;=Age+B,IF(AND(B25&gt;=Begin_Age,B25&lt;End_Age),GB_rate,0),""),"")</f>
        <v>0</v>
      </c>
      <c r="K25" s="168">
        <f t="shared" si="4"/>
        <v>1</v>
      </c>
      <c r="L25" s="168">
        <f t="shared" si="5"/>
        <v>0</v>
      </c>
      <c r="M25" s="168">
        <f>IFERROR(IF(B25&lt;=Age+B,J25*Face_Amt*(End_Age-B25-1),""),"")</f>
        <v>0</v>
      </c>
      <c r="N25" s="168">
        <f ca="1">IFERROR(IF(B25&lt;=Age+B,MAX(MIN(A25,PPP)*Gross_Premium,CV!Z26+L26)*K25,""),"")</f>
        <v>5098.7136021908273</v>
      </c>
      <c r="O25" s="171" cm="1">
        <f t="array" ref="O25">IFERROR(IF(B25&lt;=Age+B,VLOOKUP(IF(PPP&lt;20,PPP,"20+"),Exp_load_Prem,_xlfn.IFS(A25=1,1,A25=2,2,A25=3,3,OR(A25=4,A25=5),4,AND(A25&gt;=6,A25&lt;=10),5,AND(A25&gt;=11,A25&lt;=PPP),6,A25&gt;PPP,7)+1,FALSE),""),"")</f>
        <v>0.05</v>
      </c>
      <c r="P25" s="168">
        <f t="shared" ca="1" si="6"/>
        <v>0.59576627769316282</v>
      </c>
      <c r="Q25" s="168">
        <f t="shared" ca="1" si="7"/>
        <v>0</v>
      </c>
      <c r="R25" s="168">
        <f t="shared" ca="1" si="8"/>
        <v>0.51270355169638515</v>
      </c>
      <c r="S25" s="168">
        <f t="shared" ca="1" si="9"/>
        <v>2.5635177584819258E-2</v>
      </c>
      <c r="T25" s="168">
        <f t="shared" ca="1" si="15"/>
        <v>605.47224026016329</v>
      </c>
      <c r="U25" s="168">
        <f t="shared" ca="1" si="10"/>
        <v>637.33920027385341</v>
      </c>
    </row>
    <row r="26" spans="1:21" x14ac:dyDescent="0.4">
      <c r="A26" s="168">
        <f t="shared" si="0"/>
        <v>9</v>
      </c>
      <c r="B26" s="168">
        <f t="shared" si="11"/>
        <v>28</v>
      </c>
      <c r="C26" s="168">
        <f ca="1">IFERROR(MIN(VLOOKUP(B26,INDIRECT("mort_alb_"&amp;Cover!$J$4),IF(Sex="M",2,3))/1000,1)*Mort_Int,"")</f>
        <v>2.4640000000000003E-4</v>
      </c>
      <c r="D26" s="168">
        <f t="shared" ca="1" si="1"/>
        <v>2.4600839750036594E-4</v>
      </c>
      <c r="E26" s="168">
        <f t="shared" ca="1" si="2"/>
        <v>0.99841070414109534</v>
      </c>
      <c r="F26" s="168">
        <f t="shared" ca="1" si="12"/>
        <v>1.2021477160142686E-4</v>
      </c>
      <c r="G26" s="168">
        <f t="shared" ca="1" si="3"/>
        <v>0.50008174063093558</v>
      </c>
      <c r="H26" s="168">
        <f t="shared" si="13"/>
        <v>1</v>
      </c>
      <c r="I26" s="168">
        <f t="shared" si="14"/>
        <v>0</v>
      </c>
      <c r="J26" s="168">
        <f>IFERROR(IF(B26&lt;=Age+B,IF(AND(B26&gt;=Begin_Age,B26&lt;End_Age),GB_rate,0),""),"")</f>
        <v>0</v>
      </c>
      <c r="K26" s="168">
        <f t="shared" si="4"/>
        <v>1</v>
      </c>
      <c r="L26" s="168">
        <f t="shared" si="5"/>
        <v>0</v>
      </c>
      <c r="M26" s="168">
        <f>IFERROR(IF(B26&lt;=Age+B,J26*Face_Amt*(End_Age-B26-1),""),"")</f>
        <v>0</v>
      </c>
      <c r="N26" s="168">
        <f ca="1">IFERROR(IF(B26&lt;=Age+B,MAX(MIN(A26,PPP)*Gross_Premium,CV!Z27+L27)*K26,""),"")</f>
        <v>5736.052802464681</v>
      </c>
      <c r="O26" s="171" cm="1">
        <f t="array" ref="O26">IFERROR(IF(B26&lt;=Age+B,VLOOKUP(IF(PPP&lt;20,PPP,"20+"),Exp_load_Prem,_xlfn.IFS(A26=1,1,A26=2,2,A26=3,3,OR(A26=4,A26=5),4,AND(A26&gt;=6,A26&lt;=10),5,AND(A26&gt;=11,A26&lt;=PPP),6,A26&gt;PPP,7)+1,FALSE),""),"")</f>
        <v>0.05</v>
      </c>
      <c r="P26" s="168">
        <f t="shared" ca="1" si="6"/>
        <v>0.68955827754201604</v>
      </c>
      <c r="Q26" s="168">
        <f t="shared" ca="1" si="7"/>
        <v>0</v>
      </c>
      <c r="R26" s="168">
        <f t="shared" ca="1" si="8"/>
        <v>0.50008174063093558</v>
      </c>
      <c r="S26" s="168">
        <f t="shared" ca="1" si="9"/>
        <v>2.500408703154678E-2</v>
      </c>
      <c r="T26" s="168">
        <f t="shared" ca="1" si="15"/>
        <v>605.47224026016329</v>
      </c>
      <c r="U26" s="168">
        <f t="shared" ca="1" si="10"/>
        <v>637.33920027385341</v>
      </c>
    </row>
    <row r="27" spans="1:21" x14ac:dyDescent="0.4">
      <c r="A27" s="168">
        <f t="shared" si="0"/>
        <v>10</v>
      </c>
      <c r="B27" s="168">
        <f t="shared" si="11"/>
        <v>29</v>
      </c>
      <c r="C27" s="168">
        <f ca="1">IFERROR(MIN(VLOOKUP(B27,INDIRECT("mort_alb_"&amp;Cover!$J$4),IF(Sex="M",2,3))/1000,1)*Mort_Int,"")</f>
        <v>2.608E-4</v>
      </c>
      <c r="D27" s="168">
        <f t="shared" ca="1" si="1"/>
        <v>2.6032135264992959E-4</v>
      </c>
      <c r="E27" s="168">
        <f t="shared" ca="1" si="2"/>
        <v>0.99816469574359501</v>
      </c>
      <c r="F27" s="168">
        <f t="shared" ca="1" si="12"/>
        <v>1.2410630067226987E-4</v>
      </c>
      <c r="G27" s="168">
        <f t="shared" ca="1" si="3"/>
        <v>0.48776441023418932</v>
      </c>
      <c r="H27" s="168">
        <f t="shared" si="13"/>
        <v>1</v>
      </c>
      <c r="I27" s="168">
        <f t="shared" si="14"/>
        <v>0</v>
      </c>
      <c r="J27" s="168">
        <f>IFERROR(IF(B27&lt;=Age+B,IF(AND(B27&gt;=Begin_Age,B27&lt;End_Age),GB_rate,0),""),"")</f>
        <v>0</v>
      </c>
      <c r="K27" s="168">
        <f t="shared" si="4"/>
        <v>1</v>
      </c>
      <c r="L27" s="168">
        <f t="shared" si="5"/>
        <v>0</v>
      </c>
      <c r="M27" s="168">
        <f>IFERROR(IF(B27&lt;=Age+B,J27*Face_Amt*(End_Age-B27-1),""),"")</f>
        <v>0</v>
      </c>
      <c r="N27" s="168">
        <f ca="1">IFERROR(IF(B27&lt;=Age+B,MAX(MIN(A27,PPP)*Gross_Premium,CV!Z28+L28)*K27,""),"")</f>
        <v>6373.3920027385338</v>
      </c>
      <c r="O27" s="171" cm="1">
        <f t="array" ref="O27">IFERROR(IF(B27&lt;=Age+B,VLOOKUP(IF(PPP&lt;20,PPP,"20+"),Exp_load_Prem,_xlfn.IFS(A27=1,1,A27=2,2,A27=3,3,OR(A27=4,A27=5),4,AND(A27&gt;=6,A27&lt;=10),5,AND(A27&gt;=11,A27&lt;=PPP),6,A27&gt;PPP,7)+1,FALSE),""),"")</f>
        <v>0.05</v>
      </c>
      <c r="P27" s="168">
        <f t="shared" ca="1" si="6"/>
        <v>0.79097810419410874</v>
      </c>
      <c r="Q27" s="168">
        <f t="shared" ca="1" si="7"/>
        <v>0</v>
      </c>
      <c r="R27" s="168">
        <f t="shared" ca="1" si="8"/>
        <v>0.48776441023418932</v>
      </c>
      <c r="S27" s="168">
        <f t="shared" ca="1" si="9"/>
        <v>2.4388220511709469E-2</v>
      </c>
      <c r="T27" s="168">
        <f t="shared" ca="1" si="15"/>
        <v>605.47224026016329</v>
      </c>
      <c r="U27" s="168">
        <f t="shared" ca="1" si="10"/>
        <v>637.33920027385341</v>
      </c>
    </row>
    <row r="28" spans="1:21" x14ac:dyDescent="0.4">
      <c r="A28" s="168">
        <f t="shared" si="0"/>
        <v>11</v>
      </c>
      <c r="B28" s="168">
        <f t="shared" si="11"/>
        <v>30</v>
      </c>
      <c r="C28" s="168">
        <f ca="1">IFERROR(MIN(VLOOKUP(B28,INDIRECT("mort_alb_"&amp;Cover!$J$4),IF(Sex="M",2,3))/1000,1)*Mort_Int,"")</f>
        <v>2.7839999999999999E-4</v>
      </c>
      <c r="D28" s="168">
        <f t="shared" ca="1" si="1"/>
        <v>2.7781657783043911E-4</v>
      </c>
      <c r="E28" s="168">
        <f t="shared" ca="1" si="2"/>
        <v>0.99790437439094504</v>
      </c>
      <c r="F28" s="168">
        <f t="shared" ca="1" si="12"/>
        <v>1.2921660614894799E-4</v>
      </c>
      <c r="G28" s="168">
        <f t="shared" ca="1" si="3"/>
        <v>0.47574361100097595</v>
      </c>
      <c r="H28" s="168">
        <f t="shared" si="13"/>
        <v>1</v>
      </c>
      <c r="I28" s="168">
        <f t="shared" si="14"/>
        <v>0</v>
      </c>
      <c r="J28" s="168">
        <f>IFERROR(IF(B28&lt;=Age+B,IF(AND(B28&gt;=Begin_Age,B28&lt;End_Age),GB_rate,0),""),"")</f>
        <v>0</v>
      </c>
      <c r="K28" s="168">
        <f t="shared" si="4"/>
        <v>1</v>
      </c>
      <c r="L28" s="168">
        <f t="shared" si="5"/>
        <v>0</v>
      </c>
      <c r="M28" s="168">
        <f>IFERROR(IF(B28&lt;=Age+B,J28*Face_Amt*(End_Age-B28-1),""),"")</f>
        <v>0</v>
      </c>
      <c r="N28" s="168">
        <f ca="1">IFERROR(IF(B28&lt;=Age+B,MAX(MIN(A28,PPP)*Gross_Premium,CV!Z29+L29)*K28,""),"")</f>
        <v>7010.7312030123876</v>
      </c>
      <c r="O28" s="171" cm="1">
        <f t="array" ref="O28">IFERROR(IF(B28&lt;=Age+B,VLOOKUP(IF(PPP&lt;20,PPP,"20+"),Exp_load_Prem,_xlfn.IFS(A28=1,1,A28=2,2,A28=3,3,OR(A28=4,A28=5),4,AND(A28&gt;=6,A28&lt;=10),5,AND(A28&gt;=11,A28&lt;=PPP),6,A28&gt;PPP,7)+1,FALSE),""),"")</f>
        <v>0.05</v>
      </c>
      <c r="P28" s="168">
        <f t="shared" ca="1" si="6"/>
        <v>0.90590289267579205</v>
      </c>
      <c r="Q28" s="168">
        <f t="shared" ca="1" si="7"/>
        <v>0</v>
      </c>
      <c r="R28" s="168">
        <f t="shared" ca="1" si="8"/>
        <v>0.47574361100097595</v>
      </c>
      <c r="S28" s="168">
        <f t="shared" ca="1" si="9"/>
        <v>2.37871805500488E-2</v>
      </c>
      <c r="T28" s="168">
        <f t="shared" ca="1" si="15"/>
        <v>605.47224026016329</v>
      </c>
      <c r="U28" s="168">
        <f t="shared" ca="1" si="10"/>
        <v>637.33920027385341</v>
      </c>
    </row>
    <row r="29" spans="1:21" x14ac:dyDescent="0.4">
      <c r="A29" s="168">
        <f t="shared" si="0"/>
        <v>12</v>
      </c>
      <c r="B29" s="168">
        <f t="shared" si="11"/>
        <v>31</v>
      </c>
      <c r="C29" s="168">
        <f ca="1">IFERROR(MIN(VLOOKUP(B29,INDIRECT("mort_alb_"&amp;Cover!$J$4),IF(Sex="M",2,3))/1000,1)*Mort_Int,"")</f>
        <v>2.9840000000000004E-4</v>
      </c>
      <c r="D29" s="168">
        <f t="shared" ca="1" si="1"/>
        <v>2.9769176485143343E-4</v>
      </c>
      <c r="E29" s="168">
        <f t="shared" ca="1" si="2"/>
        <v>0.9976265578131146</v>
      </c>
      <c r="F29" s="168">
        <f t="shared" ca="1" si="12"/>
        <v>1.3508375617516671E-4</v>
      </c>
      <c r="G29" s="168">
        <f t="shared" ca="1" si="3"/>
        <v>0.46401089168748599</v>
      </c>
      <c r="H29" s="168">
        <f t="shared" si="13"/>
        <v>1</v>
      </c>
      <c r="I29" s="168">
        <f t="shared" si="14"/>
        <v>0</v>
      </c>
      <c r="J29" s="168">
        <f>IFERROR(IF(B29&lt;=Age+B,IF(AND(B29&gt;=Begin_Age,B29&lt;End_Age),GB_rate,0),""),"")</f>
        <v>0</v>
      </c>
      <c r="K29" s="168">
        <f t="shared" si="4"/>
        <v>1</v>
      </c>
      <c r="L29" s="168">
        <f t="shared" si="5"/>
        <v>0</v>
      </c>
      <c r="M29" s="168">
        <f>IFERROR(IF(B29&lt;=Age+B,J29*Face_Amt*(End_Age-B29-1),""),"")</f>
        <v>0</v>
      </c>
      <c r="N29" s="168">
        <f ca="1">IFERROR(IF(B29&lt;=Age+B,MAX(MIN(A29,PPP)*Gross_Premium,CV!Z30+L30)*K29,""),"")</f>
        <v>7648.0704032862413</v>
      </c>
      <c r="O29" s="171" cm="1">
        <f t="array" ref="O29">IFERROR(IF(B29&lt;=Age+B,VLOOKUP(IF(PPP&lt;20,PPP,"20+"),Exp_load_Prem,_xlfn.IFS(A29=1,1,A29=2,2,A29=3,3,OR(A29=4,A29=5),4,AND(A29&gt;=6,A29&lt;=10),5,AND(A29&gt;=11,A29&lt;=PPP),6,A29&gt;PPP,7)+1,FALSE),""),"")</f>
        <v>0.05</v>
      </c>
      <c r="P29" s="168">
        <f t="shared" ca="1" si="6"/>
        <v>1.0331300775680274</v>
      </c>
      <c r="Q29" s="168">
        <f t="shared" ca="1" si="7"/>
        <v>0</v>
      </c>
      <c r="R29" s="168">
        <f t="shared" ca="1" si="8"/>
        <v>0.46401089168748599</v>
      </c>
      <c r="S29" s="168">
        <f t="shared" ca="1" si="9"/>
        <v>2.3200544584374302E-2</v>
      </c>
      <c r="T29" s="168">
        <f t="shared" ca="1" si="15"/>
        <v>605.47224026016329</v>
      </c>
      <c r="U29" s="168">
        <f t="shared" ca="1" si="10"/>
        <v>637.33920027385341</v>
      </c>
    </row>
    <row r="30" spans="1:21" x14ac:dyDescent="0.4">
      <c r="A30" s="168">
        <f t="shared" si="0"/>
        <v>13</v>
      </c>
      <c r="B30" s="168">
        <f t="shared" si="11"/>
        <v>32</v>
      </c>
      <c r="C30" s="168">
        <f ca="1">IFERROR(MIN(VLOOKUP(B30,INDIRECT("mort_alb_"&amp;Cover!$J$4),IF(Sex="M",2,3))/1000,1)*Mort_Int,"")</f>
        <v>3.2160000000000001E-4</v>
      </c>
      <c r="D30" s="168">
        <f t="shared" ca="1" si="1"/>
        <v>3.2074096332112146E-4</v>
      </c>
      <c r="E30" s="168">
        <f t="shared" ca="1" si="2"/>
        <v>0.99732886604826321</v>
      </c>
      <c r="F30" s="168">
        <f t="shared" ca="1" si="12"/>
        <v>1.4199297918601782E-4</v>
      </c>
      <c r="G30" s="168">
        <f t="shared" ca="1" si="3"/>
        <v>0.45255846910966496</v>
      </c>
      <c r="H30" s="168">
        <f t="shared" si="13"/>
        <v>1</v>
      </c>
      <c r="I30" s="168">
        <f t="shared" si="14"/>
        <v>0</v>
      </c>
      <c r="J30" s="168">
        <f>IFERROR(IF(B30&lt;=Age+B,IF(AND(B30&gt;=Begin_Age,B30&lt;End_Age),GB_rate,0),""),"")</f>
        <v>0</v>
      </c>
      <c r="K30" s="168">
        <f t="shared" si="4"/>
        <v>1</v>
      </c>
      <c r="L30" s="168">
        <f t="shared" si="5"/>
        <v>0</v>
      </c>
      <c r="M30" s="168">
        <f>IFERROR(IF(B30&lt;=Age+B,J30*Face_Amt*(End_Age-B30-1),""),"")</f>
        <v>0</v>
      </c>
      <c r="N30" s="168">
        <f ca="1">IFERROR(IF(B30&lt;=Age+B,MAX(MIN(A30,PPP)*Gross_Premium,CV!Z31+L31)*K30,""),"")</f>
        <v>8285.4096035600942</v>
      </c>
      <c r="O30" s="171" cm="1">
        <f t="array" ref="O30">IFERROR(IF(B30&lt;=Age+B,VLOOKUP(IF(PPP&lt;20,PPP,"20+"),Exp_load_Prem,_xlfn.IFS(A30=1,1,A30=2,2,A30=3,3,OR(A30=4,A30=5),4,AND(A30&gt;=6,A30&lt;=10),5,AND(A30&gt;=11,A30&lt;=PPP),6,A30&gt;PPP,7)+1,FALSE),""),"")</f>
        <v>0.05</v>
      </c>
      <c r="P30" s="168">
        <f t="shared" ca="1" si="6"/>
        <v>1.1764699933859406</v>
      </c>
      <c r="Q30" s="168">
        <f t="shared" ca="1" si="7"/>
        <v>0</v>
      </c>
      <c r="R30" s="168">
        <f t="shared" ca="1" si="8"/>
        <v>0.45255846910966496</v>
      </c>
      <c r="S30" s="168">
        <f t="shared" ca="1" si="9"/>
        <v>2.262792345548325E-2</v>
      </c>
      <c r="T30" s="168">
        <f t="shared" ca="1" si="15"/>
        <v>605.47224026016329</v>
      </c>
      <c r="U30" s="168">
        <f t="shared" ca="1" si="10"/>
        <v>637.33920027385341</v>
      </c>
    </row>
    <row r="31" spans="1:21" x14ac:dyDescent="0.4">
      <c r="A31" s="168">
        <f t="shared" si="0"/>
        <v>14</v>
      </c>
      <c r="B31" s="168">
        <f t="shared" si="11"/>
        <v>33</v>
      </c>
      <c r="C31" s="168">
        <f ca="1">IFERROR(MIN(VLOOKUP(B31,INDIRECT("mort_alb_"&amp;Cover!$J$4),IF(Sex="M",2,3))/1000,1)*Mort_Int,"")</f>
        <v>3.4880000000000002E-4</v>
      </c>
      <c r="D31" s="168">
        <f t="shared" ca="1" si="1"/>
        <v>3.4775643402962784E-4</v>
      </c>
      <c r="E31" s="168">
        <f t="shared" ca="1" si="2"/>
        <v>0.99700812508494208</v>
      </c>
      <c r="F31" s="168">
        <f t="shared" ca="1" si="12"/>
        <v>1.5019786193506968E-4</v>
      </c>
      <c r="G31" s="168">
        <f t="shared" ca="1" si="3"/>
        <v>0.44137846468877984</v>
      </c>
      <c r="H31" s="168">
        <f t="shared" si="13"/>
        <v>1</v>
      </c>
      <c r="I31" s="168">
        <f t="shared" si="14"/>
        <v>0</v>
      </c>
      <c r="J31" s="168">
        <f>IFERROR(IF(B31&lt;=Age+B,IF(AND(B31&gt;=Begin_Age,B31&lt;End_Age),GB_rate,0),""),"")</f>
        <v>0</v>
      </c>
      <c r="K31" s="168">
        <f t="shared" si="4"/>
        <v>1</v>
      </c>
      <c r="L31" s="168">
        <f t="shared" si="5"/>
        <v>0</v>
      </c>
      <c r="M31" s="168">
        <f>IFERROR(IF(B31&lt;=Age+B,J31*Face_Amt*(End_Age-B31-1),""),"")</f>
        <v>0</v>
      </c>
      <c r="N31" s="168">
        <f ca="1">IFERROR(IF(B31&lt;=Age+B,MAX(MIN(A31,PPP)*Gross_Premium,CV!Z32+L32)*K31,""),"")</f>
        <v>8922.748803833947</v>
      </c>
      <c r="O31" s="171" cm="1">
        <f t="array" ref="O31">IFERROR(IF(B31&lt;=Age+B,VLOOKUP(IF(PPP&lt;20,PPP,"20+"),Exp_load_Prem,_xlfn.IFS(A31=1,1,A31=2,2,A31=3,3,OR(A31=4,A31=5),4,AND(A31&gt;=6,A31&lt;=10),5,AND(A31&gt;=11,A31&lt;=PPP),6,A31&gt;PPP,7)+1,FALSE),""),"")</f>
        <v>0.05</v>
      </c>
      <c r="P31" s="168">
        <f t="shared" ca="1" si="6"/>
        <v>1.3401777929195593</v>
      </c>
      <c r="Q31" s="168">
        <f t="shared" ca="1" si="7"/>
        <v>0</v>
      </c>
      <c r="R31" s="168">
        <f t="shared" ca="1" si="8"/>
        <v>0.44137846468877984</v>
      </c>
      <c r="S31" s="168">
        <f t="shared" ca="1" si="9"/>
        <v>2.2068923234438993E-2</v>
      </c>
      <c r="T31" s="168">
        <f t="shared" ca="1" si="15"/>
        <v>605.47224026016329</v>
      </c>
      <c r="U31" s="168">
        <f t="shared" ca="1" si="10"/>
        <v>637.33920027385341</v>
      </c>
    </row>
    <row r="32" spans="1:21" x14ac:dyDescent="0.4">
      <c r="A32" s="168">
        <f t="shared" si="0"/>
        <v>15</v>
      </c>
      <c r="B32" s="168">
        <f t="shared" si="11"/>
        <v>34</v>
      </c>
      <c r="C32" s="168">
        <f ca="1">IFERROR(MIN(VLOOKUP(B32,INDIRECT("mort_alb_"&amp;Cover!$J$4),IF(Sex="M",2,3))/1000,1)*Mort_Int,"")</f>
        <v>3.8000000000000002E-4</v>
      </c>
      <c r="D32" s="168">
        <f t="shared" ca="1" si="1"/>
        <v>3.7873094008734675E-4</v>
      </c>
      <c r="E32" s="168">
        <f t="shared" ca="1" si="2"/>
        <v>0.99666036865091245</v>
      </c>
      <c r="F32" s="168">
        <f t="shared" ca="1" si="12"/>
        <v>1.595862600970971E-4</v>
      </c>
      <c r="G32" s="168">
        <f t="shared" ca="1" si="3"/>
        <v>0.43046293841980132</v>
      </c>
      <c r="H32" s="168">
        <f t="shared" si="13"/>
        <v>1</v>
      </c>
      <c r="I32" s="168">
        <f t="shared" si="14"/>
        <v>0</v>
      </c>
      <c r="J32" s="168">
        <f>IFERROR(IF(B32&lt;=Age+B,IF(AND(B32&gt;=Begin_Age,B32&lt;End_Age),GB_rate,0),""),"")</f>
        <v>0</v>
      </c>
      <c r="K32" s="168">
        <f t="shared" si="4"/>
        <v>1</v>
      </c>
      <c r="L32" s="168">
        <f t="shared" si="5"/>
        <v>0</v>
      </c>
      <c r="M32" s="168">
        <f>IFERROR(IF(B32&lt;=Age+B,J32*Face_Amt*(End_Age-B32-1),""),"")</f>
        <v>0</v>
      </c>
      <c r="N32" s="168">
        <f ca="1">IFERROR(IF(B32&lt;=Age+B,MAX(MIN(A32,PPP)*Gross_Premium,CV!Z33+L33)*K32,""),"")</f>
        <v>9560.0880041078017</v>
      </c>
      <c r="O32" s="171" cm="1">
        <f t="array" ref="O32">IFERROR(IF(B32&lt;=Age+B,VLOOKUP(IF(PPP&lt;20,PPP,"20+"),Exp_load_Prem,_xlfn.IFS(A32=1,1,A32=2,2,A32=3,3,OR(A32=4,A32=5),4,AND(A32&gt;=6,A32&lt;=10),5,AND(A32&gt;=11,A32&lt;=PPP),6,A32&gt;PPP,7)+1,FALSE),""),"")</f>
        <v>0.05</v>
      </c>
      <c r="P32" s="168">
        <f t="shared" ca="1" si="6"/>
        <v>1.5256586907746854</v>
      </c>
      <c r="Q32" s="168">
        <f t="shared" ca="1" si="7"/>
        <v>0</v>
      </c>
      <c r="R32" s="168">
        <f t="shared" ca="1" si="8"/>
        <v>0.43046293841980132</v>
      </c>
      <c r="S32" s="168">
        <f t="shared" ca="1" si="9"/>
        <v>2.1523146920990069E-2</v>
      </c>
      <c r="T32" s="168">
        <f t="shared" ca="1" si="15"/>
        <v>605.47224026016329</v>
      </c>
      <c r="U32" s="168">
        <f t="shared" ca="1" si="10"/>
        <v>637.33920027385341</v>
      </c>
    </row>
    <row r="33" spans="1:21" x14ac:dyDescent="0.4">
      <c r="A33" s="168">
        <f t="shared" si="0"/>
        <v>16</v>
      </c>
      <c r="B33" s="168">
        <f t="shared" si="11"/>
        <v>35</v>
      </c>
      <c r="C33" s="168">
        <f ca="1">IFERROR(MIN(VLOOKUP(B33,INDIRECT("mort_alb_"&amp;Cover!$J$4),IF(Sex="M",2,3))/1000,1)*Mort_Int,"")</f>
        <v>4.1520000000000006E-4</v>
      </c>
      <c r="D33" s="168">
        <f t="shared" ca="1" si="1"/>
        <v>4.1365613597753466E-4</v>
      </c>
      <c r="E33" s="168">
        <f t="shared" ca="1" si="2"/>
        <v>0.99628163771082512</v>
      </c>
      <c r="F33" s="168">
        <f t="shared" ca="1" si="12"/>
        <v>1.7005144110537009E-4</v>
      </c>
      <c r="G33" s="168">
        <f t="shared" ca="1" si="3"/>
        <v>0.41980425610068478</v>
      </c>
      <c r="H33" s="168">
        <f t="shared" si="13"/>
        <v>1</v>
      </c>
      <c r="I33" s="168">
        <f t="shared" si="14"/>
        <v>0</v>
      </c>
      <c r="J33" s="168">
        <f>IFERROR(IF(B33&lt;=Age+B,IF(AND(B33&gt;=Begin_Age,B33&lt;End_Age),GB_rate,0),""),"")</f>
        <v>0</v>
      </c>
      <c r="K33" s="168">
        <f t="shared" si="4"/>
        <v>1</v>
      </c>
      <c r="L33" s="168">
        <f t="shared" si="5"/>
        <v>0</v>
      </c>
      <c r="M33" s="168">
        <f>IFERROR(IF(B33&lt;=Age+B,J33*Face_Amt*(End_Age-B33-1),""),"")</f>
        <v>0</v>
      </c>
      <c r="N33" s="168">
        <f ca="1">IFERROR(IF(B33&lt;=Age+B,MAX(MIN(A33,PPP)*Gross_Premium,CV!Z34+L34)*K33,""),"")</f>
        <v>10197.427204381655</v>
      </c>
      <c r="O33" s="171" cm="1">
        <f t="array" ref="O33">IFERROR(IF(B33&lt;=Age+B,VLOOKUP(IF(PPP&lt;20,PPP,"20+"),Exp_load_Prem,_xlfn.IFS(A33=1,1,A33=2,2,A33=3,3,OR(A33=4,A33=5),4,AND(A33&gt;=6,A33&lt;=10),5,AND(A33&gt;=11,A33&lt;=PPP),6,A33&gt;PPP,7)+1,FALSE),""),"")</f>
        <v>0.05</v>
      </c>
      <c r="P33" s="168">
        <f t="shared" ca="1" si="6"/>
        <v>1.7340871916722056</v>
      </c>
      <c r="Q33" s="168">
        <f t="shared" ca="1" si="7"/>
        <v>0</v>
      </c>
      <c r="R33" s="168">
        <f t="shared" ca="1" si="8"/>
        <v>0.41980425610068478</v>
      </c>
      <c r="S33" s="168">
        <f t="shared" ca="1" si="9"/>
        <v>2.0990212805034242E-2</v>
      </c>
      <c r="T33" s="168">
        <f t="shared" ca="1" si="15"/>
        <v>605.47224026016329</v>
      </c>
      <c r="U33" s="168">
        <f t="shared" ca="1" si="10"/>
        <v>637.33920027385341</v>
      </c>
    </row>
    <row r="34" spans="1:21" x14ac:dyDescent="0.4">
      <c r="A34" s="168">
        <f t="shared" si="0"/>
        <v>17</v>
      </c>
      <c r="B34" s="168">
        <f t="shared" si="11"/>
        <v>36</v>
      </c>
      <c r="C34" s="168">
        <f ca="1">IFERROR(MIN(VLOOKUP(B34,INDIRECT("mort_alb_"&amp;Cover!$J$4),IF(Sex="M",2,3))/1000,1)*Mort_Int,"")</f>
        <v>4.5520000000000001E-4</v>
      </c>
      <c r="D34" s="168">
        <f t="shared" ca="1" si="1"/>
        <v>4.5331910521287063E-4</v>
      </c>
      <c r="E34" s="168">
        <f t="shared" ca="1" si="2"/>
        <v>0.99586798157484757</v>
      </c>
      <c r="F34" s="168">
        <f t="shared" ca="1" si="12"/>
        <v>1.8181135493219823E-4</v>
      </c>
      <c r="G34" s="168">
        <f t="shared" ca="1" si="3"/>
        <v>0.40939507646200168</v>
      </c>
      <c r="H34" s="168">
        <f t="shared" si="13"/>
        <v>1</v>
      </c>
      <c r="I34" s="168">
        <f t="shared" si="14"/>
        <v>0</v>
      </c>
      <c r="J34" s="168">
        <f>IFERROR(IF(B34&lt;=Age+B,IF(AND(B34&gt;=Begin_Age,B34&lt;End_Age),GB_rate,0),""),"")</f>
        <v>0</v>
      </c>
      <c r="K34" s="168">
        <f t="shared" si="4"/>
        <v>1</v>
      </c>
      <c r="L34" s="168">
        <f t="shared" si="5"/>
        <v>0</v>
      </c>
      <c r="M34" s="168">
        <f>IFERROR(IF(B34&lt;=Age+B,J34*Face_Amt*(End_Age-B34-1),""),"")</f>
        <v>0</v>
      </c>
      <c r="N34" s="168">
        <f ca="1">IFERROR(IF(B34&lt;=Age+B,MAX(MIN(A34,PPP)*Gross_Premium,CV!Z35+L35)*K34,""),"")</f>
        <v>10834.766404655507</v>
      </c>
      <c r="O34" s="171" cm="1">
        <f t="array" ref="O34">IFERROR(IF(B34&lt;=Age+B,VLOOKUP(IF(PPP&lt;20,PPP,"20+"),Exp_load_Prem,_xlfn.IFS(A34=1,1,A34=2,2,A34=3,3,OR(A34=4,A34=5),4,AND(A34&gt;=6,A34&lt;=10),5,AND(A34&gt;=11,A34&lt;=PPP),6,A34&gt;PPP,7)+1,FALSE),""),"")</f>
        <v>0.05</v>
      </c>
      <c r="P34" s="168">
        <f t="shared" ca="1" si="6"/>
        <v>1.9698835604042797</v>
      </c>
      <c r="Q34" s="168">
        <f t="shared" ca="1" si="7"/>
        <v>0</v>
      </c>
      <c r="R34" s="168">
        <f t="shared" ca="1" si="8"/>
        <v>0.40939507646200168</v>
      </c>
      <c r="S34" s="168">
        <f t="shared" ca="1" si="9"/>
        <v>2.0469753823100085E-2</v>
      </c>
      <c r="T34" s="168">
        <f t="shared" ca="1" si="15"/>
        <v>605.47224026016329</v>
      </c>
      <c r="U34" s="168">
        <f t="shared" ca="1" si="10"/>
        <v>637.33920027385341</v>
      </c>
    </row>
    <row r="35" spans="1:21" x14ac:dyDescent="0.4">
      <c r="A35" s="168">
        <f t="shared" si="0"/>
        <v>18</v>
      </c>
      <c r="B35" s="168">
        <f t="shared" si="11"/>
        <v>37</v>
      </c>
      <c r="C35" s="168">
        <f ca="1">IFERROR(MIN(VLOOKUP(B35,INDIRECT("mort_alb_"&amp;Cover!$J$4),IF(Sex="M",2,3))/1000,1)*Mort_Int,"")</f>
        <v>4.9839999999999997E-4</v>
      </c>
      <c r="D35" s="168">
        <f t="shared" ca="1" si="1"/>
        <v>4.9611466777486587E-4</v>
      </c>
      <c r="E35" s="168">
        <f t="shared" ca="1" si="2"/>
        <v>0.99541466246963473</v>
      </c>
      <c r="F35" s="168">
        <f t="shared" ca="1" si="12"/>
        <v>1.941221900867398E-4</v>
      </c>
      <c r="G35" s="168">
        <f t="shared" ca="1" si="3"/>
        <v>0.39922801933970364</v>
      </c>
      <c r="H35" s="168">
        <f t="shared" si="13"/>
        <v>1</v>
      </c>
      <c r="I35" s="168">
        <f t="shared" si="14"/>
        <v>0</v>
      </c>
      <c r="J35" s="168">
        <f>IFERROR(IF(B35&lt;=Age+B,IF(AND(B35&gt;=Begin_Age,B35&lt;End_Age),GB_rate,0),""),"")</f>
        <v>0</v>
      </c>
      <c r="K35" s="168">
        <f t="shared" si="4"/>
        <v>1</v>
      </c>
      <c r="L35" s="168">
        <f t="shared" si="5"/>
        <v>0</v>
      </c>
      <c r="M35" s="168">
        <f>IFERROR(IF(B35&lt;=Age+B,J35*Face_Amt*(End_Age-B35-1),""),"")</f>
        <v>0</v>
      </c>
      <c r="N35" s="168">
        <f ca="1">IFERROR(IF(B35&lt;=Age+B,MAX(MIN(A35,PPP)*Gross_Premium,CV!Z36+L36)*K35,""),"")</f>
        <v>11472.105604929362</v>
      </c>
      <c r="O35" s="171" cm="1">
        <f t="array" ref="O35">IFERROR(IF(B35&lt;=Age+B,VLOOKUP(IF(PPP&lt;20,PPP,"20+"),Exp_load_Prem,_xlfn.IFS(A35=1,1,A35=2,2,A35=3,3,OR(A35=4,A35=5),4,AND(A35&gt;=6,A35&lt;=10),5,AND(A35&gt;=11,A35&lt;=PPP),6,A35&gt;PPP,7)+1,FALSE),""),"")</f>
        <v>0.05</v>
      </c>
      <c r="P35" s="168">
        <f t="shared" ca="1" si="6"/>
        <v>2.2269902649352509</v>
      </c>
      <c r="Q35" s="168">
        <f t="shared" ca="1" si="7"/>
        <v>0</v>
      </c>
      <c r="R35" s="168">
        <f t="shared" ca="1" si="8"/>
        <v>0.39922801933970364</v>
      </c>
      <c r="S35" s="168">
        <f t="shared" ca="1" si="9"/>
        <v>1.9961400966985184E-2</v>
      </c>
      <c r="T35" s="168">
        <f t="shared" ca="1" si="15"/>
        <v>605.47224026016329</v>
      </c>
      <c r="U35" s="168">
        <f t="shared" ca="1" si="10"/>
        <v>637.33920027385341</v>
      </c>
    </row>
    <row r="36" spans="1:21" x14ac:dyDescent="0.4">
      <c r="A36" s="168">
        <f t="shared" si="0"/>
        <v>19</v>
      </c>
      <c r="B36" s="168">
        <f t="shared" si="11"/>
        <v>38</v>
      </c>
      <c r="C36" s="168">
        <f ca="1">IFERROR(MIN(VLOOKUP(B36,INDIRECT("mort_alb_"&amp;Cover!$J$4),IF(Sex="M",2,3))/1000,1)*Mort_Int,"")</f>
        <v>5.4560000000000014E-4</v>
      </c>
      <c r="D36" s="168">
        <f t="shared" ca="1" si="1"/>
        <v>5.4282755968069487E-4</v>
      </c>
      <c r="E36" s="168">
        <f t="shared" ca="1" si="2"/>
        <v>0.99491854780185984</v>
      </c>
      <c r="F36" s="168">
        <f t="shared" ca="1" si="12"/>
        <v>2.0721974677754504E-4</v>
      </c>
      <c r="G36" s="168">
        <f t="shared" ca="1" si="3"/>
        <v>0.38929662838523399</v>
      </c>
      <c r="H36" s="168">
        <f t="shared" si="13"/>
        <v>1</v>
      </c>
      <c r="I36" s="168">
        <f t="shared" si="14"/>
        <v>0</v>
      </c>
      <c r="J36" s="168">
        <f>IFERROR(IF(B36&lt;=Age+B,IF(AND(B36&gt;=Begin_Age,B36&lt;End_Age),GB_rate,0),""),"")</f>
        <v>0</v>
      </c>
      <c r="K36" s="168">
        <f t="shared" si="4"/>
        <v>1</v>
      </c>
      <c r="L36" s="168">
        <f t="shared" si="5"/>
        <v>0</v>
      </c>
      <c r="M36" s="168">
        <f>IFERROR(IF(B36&lt;=Age+B,J36*Face_Amt*(End_Age-B36-1),""),"")</f>
        <v>0</v>
      </c>
      <c r="N36" s="168">
        <f ca="1">IFERROR(IF(B36&lt;=Age+B,MAX(MIN(A36,PPP)*Gross_Premium,CV!Z37+L37)*K36,""),"")</f>
        <v>12109.444805203215</v>
      </c>
      <c r="O36" s="171" cm="1">
        <f t="array" ref="O36">IFERROR(IF(B36&lt;=Age+B,VLOOKUP(IF(PPP&lt;20,PPP,"20+"),Exp_load_Prem,_xlfn.IFS(A36=1,1,A36=2,2,A36=3,3,OR(A36=4,A36=5),4,AND(A36&gt;=6,A36&lt;=10),5,AND(A36&gt;=11,A36&lt;=PPP),6,A36&gt;PPP,7)+1,FALSE),""),"")</f>
        <v>0.05</v>
      </c>
      <c r="P36" s="168">
        <f t="shared" ca="1" si="6"/>
        <v>2.5093160861508683</v>
      </c>
      <c r="Q36" s="168">
        <f t="shared" ca="1" si="7"/>
        <v>0</v>
      </c>
      <c r="R36" s="168">
        <f t="shared" ca="1" si="8"/>
        <v>0.38929662838523399</v>
      </c>
      <c r="S36" s="168">
        <f t="shared" ca="1" si="9"/>
        <v>1.94648314192617E-2</v>
      </c>
      <c r="T36" s="168">
        <f t="shared" ca="1" si="15"/>
        <v>605.47224026016329</v>
      </c>
      <c r="U36" s="168">
        <f t="shared" ca="1" si="10"/>
        <v>637.33920027385341</v>
      </c>
    </row>
    <row r="37" spans="1:21" x14ac:dyDescent="0.4">
      <c r="A37" s="168">
        <f t="shared" si="0"/>
        <v>20</v>
      </c>
      <c r="B37" s="168">
        <f t="shared" si="11"/>
        <v>39</v>
      </c>
      <c r="C37" s="168">
        <f ca="1">IFERROR(MIN(VLOOKUP(B37,INDIRECT("mort_alb_"&amp;Cover!$J$4),IF(Sex="M",2,3))/1000,1)*Mort_Int,"")</f>
        <v>5.9520000000000005E-4</v>
      </c>
      <c r="D37" s="168">
        <f t="shared" ca="1" si="1"/>
        <v>5.9185242868814501E-4</v>
      </c>
      <c r="E37" s="168">
        <f t="shared" ca="1" si="2"/>
        <v>0.99437572024217913</v>
      </c>
      <c r="F37" s="168">
        <f t="shared" ca="1" si="12"/>
        <v>2.2042396915338699E-4</v>
      </c>
      <c r="G37" s="168">
        <f t="shared" ca="1" si="3"/>
        <v>0.37959436892174336</v>
      </c>
      <c r="H37" s="168">
        <f t="shared" si="13"/>
        <v>1</v>
      </c>
      <c r="I37" s="168">
        <f t="shared" si="14"/>
        <v>0</v>
      </c>
      <c r="J37" s="168">
        <f>IFERROR(IF(B37&lt;=Age+B,IF(AND(B37&gt;=Begin_Age,B37&lt;End_Age),GB_rate,0),""),"")</f>
        <v>0</v>
      </c>
      <c r="K37" s="168">
        <f t="shared" si="4"/>
        <v>1</v>
      </c>
      <c r="L37" s="168">
        <f t="shared" si="5"/>
        <v>0</v>
      </c>
      <c r="M37" s="168">
        <f>IFERROR(IF(B37&lt;=Age+B,J37*Face_Amt*(End_Age-B37-1),""),"")</f>
        <v>0</v>
      </c>
      <c r="N37" s="168">
        <f ca="1">IFERROR(IF(B37&lt;=Age+B,MAX(MIN(A37,PPP)*Gross_Premium,CV!Z38+L38)*K37,""),"")</f>
        <v>12746.784005477068</v>
      </c>
      <c r="O37" s="171" cm="1">
        <f t="array" ref="O37">IFERROR(IF(B37&lt;=Age+B,VLOOKUP(IF(PPP&lt;20,PPP,"20+"),Exp_load_Prem,_xlfn.IFS(A37=1,1,A37=2,2,A37=3,3,OR(A37=4,A37=5),4,AND(A37&gt;=6,A37&lt;=10),5,AND(A37&gt;=11,A37&lt;=PPP),6,A37&gt;PPP,7)+1,FALSE),""),"")</f>
        <v>0.05</v>
      </c>
      <c r="P37" s="168">
        <f t="shared" ca="1" si="6"/>
        <v>2.8096967244281639</v>
      </c>
      <c r="Q37" s="168">
        <f t="shared" ca="1" si="7"/>
        <v>0</v>
      </c>
      <c r="R37" s="168">
        <f t="shared" ca="1" si="8"/>
        <v>0.37959436892174336</v>
      </c>
      <c r="S37" s="168">
        <f t="shared" ca="1" si="9"/>
        <v>1.897971844608717E-2</v>
      </c>
      <c r="T37" s="168">
        <f t="shared" ca="1" si="15"/>
        <v>605.47224026016329</v>
      </c>
      <c r="U37" s="168">
        <f t="shared" ca="1" si="10"/>
        <v>637.33920027385341</v>
      </c>
    </row>
    <row r="38" spans="1:21" x14ac:dyDescent="0.4">
      <c r="A38" s="168">
        <f t="shared" si="0"/>
        <v>21</v>
      </c>
      <c r="B38" s="168">
        <f t="shared" si="11"/>
        <v>40</v>
      </c>
      <c r="C38" s="168">
        <f ca="1">IFERROR(MIN(VLOOKUP(B38,INDIRECT("mort_alb_"&amp;Cover!$J$4),IF(Sex="M",2,3))/1000,1)*Mort_Int,"")</f>
        <v>6.4720000000000012E-4</v>
      </c>
      <c r="D38" s="168">
        <f t="shared" ca="1" si="1"/>
        <v>6.4317691924889149E-4</v>
      </c>
      <c r="E38" s="168">
        <f t="shared" ca="1" si="2"/>
        <v>0.99378386781349093</v>
      </c>
      <c r="F38" s="168">
        <f t="shared" ca="1" si="12"/>
        <v>2.3369637188672972E-4</v>
      </c>
      <c r="G38" s="168">
        <f t="shared" ca="1" si="3"/>
        <v>0.37011554571059624</v>
      </c>
      <c r="H38" s="168">
        <f t="shared" si="13"/>
        <v>0</v>
      </c>
      <c r="I38" s="168">
        <f t="shared" si="14"/>
        <v>0</v>
      </c>
      <c r="J38" s="168">
        <f>IFERROR(IF(B38&lt;=Age+B,IF(AND(B38&gt;=Begin_Age,B38&lt;End_Age),GB_rate,0),""),"")</f>
        <v>0</v>
      </c>
      <c r="K38" s="168">
        <f t="shared" si="4"/>
        <v>1</v>
      </c>
      <c r="L38" s="168">
        <f t="shared" si="5"/>
        <v>0</v>
      </c>
      <c r="M38" s="168">
        <f>IFERROR(IF(B38&lt;=Age+B,J38*Face_Amt*(End_Age-B38-1),""),"")</f>
        <v>0</v>
      </c>
      <c r="N38" s="168">
        <f ca="1">IFERROR(IF(B38&lt;=Age+B,MAX(MIN(A38,PPP)*Gross_Premium,CV!Z39+L39)*K38,""),"")</f>
        <v>12746.784005477068</v>
      </c>
      <c r="O38" s="171" cm="1">
        <f t="array" ref="O38">IFERROR(IF(B38&lt;=Age+B,VLOOKUP(IF(PPP&lt;20,PPP,"20+"),Exp_load_Prem,_xlfn.IFS(A38=1,1,A38=2,2,A38=3,3,OR(A38=4,A38=5),4,AND(A38&gt;=6,A38&lt;=10),5,AND(A38&gt;=11,A38&lt;=PPP),6,A38&gt;PPP,7)+1,FALSE),""),"")</f>
        <v>0</v>
      </c>
      <c r="P38" s="168">
        <f t="shared" ca="1" si="6"/>
        <v>2.9788771753037873</v>
      </c>
      <c r="Q38" s="168">
        <f t="shared" ca="1" si="7"/>
        <v>0</v>
      </c>
      <c r="R38" s="168">
        <f t="shared" ca="1" si="8"/>
        <v>0</v>
      </c>
      <c r="S38" s="168">
        <f t="shared" ca="1" si="9"/>
        <v>0</v>
      </c>
      <c r="T38" s="168">
        <f t="shared" ca="1" si="15"/>
        <v>0</v>
      </c>
      <c r="U38" s="168">
        <f t="shared" ca="1" si="10"/>
        <v>0</v>
      </c>
    </row>
    <row r="39" spans="1:21" x14ac:dyDescent="0.4">
      <c r="A39" s="168">
        <f t="shared" si="0"/>
        <v>22</v>
      </c>
      <c r="B39" s="168">
        <f t="shared" si="11"/>
        <v>41</v>
      </c>
      <c r="C39" s="168">
        <f ca="1">IFERROR(MIN(VLOOKUP(B39,INDIRECT("mort_alb_"&amp;Cover!$J$4),IF(Sex="M",2,3))/1000,1)*Mort_Int,"")</f>
        <v>7.0160000000000003E-4</v>
      </c>
      <c r="D39" s="168">
        <f t="shared" ca="1" si="1"/>
        <v>6.9678750873140025E-4</v>
      </c>
      <c r="E39" s="168">
        <f t="shared" ca="1" si="2"/>
        <v>0.99314069089424206</v>
      </c>
      <c r="F39" s="168">
        <f t="shared" ca="1" si="12"/>
        <v>2.4700060103431361E-4</v>
      </c>
      <c r="G39" s="168">
        <f t="shared" ca="1" si="3"/>
        <v>0.3608546409067438</v>
      </c>
      <c r="H39" s="168">
        <f t="shared" si="13"/>
        <v>0</v>
      </c>
      <c r="I39" s="168">
        <f t="shared" si="14"/>
        <v>0</v>
      </c>
      <c r="J39" s="168">
        <f>IFERROR(IF(B39&lt;=Age+B,IF(AND(B39&gt;=Begin_Age,B39&lt;End_Age),GB_rate,0),""),"")</f>
        <v>0</v>
      </c>
      <c r="K39" s="168">
        <f t="shared" si="4"/>
        <v>1</v>
      </c>
      <c r="L39" s="168">
        <f t="shared" si="5"/>
        <v>0</v>
      </c>
      <c r="M39" s="168">
        <f>IFERROR(IF(B39&lt;=Age+B,J39*Face_Amt*(End_Age-B39-1),""),"")</f>
        <v>0</v>
      </c>
      <c r="N39" s="168">
        <f ca="1">IFERROR(IF(B39&lt;=Age+B,MAX(MIN(A39,PPP)*Gross_Premium,CV!Z40+L40)*K39,""),"")</f>
        <v>12746.784005477068</v>
      </c>
      <c r="O39" s="171" cm="1">
        <f t="array" ref="O39">IFERROR(IF(B39&lt;=Age+B,VLOOKUP(IF(PPP&lt;20,PPP,"20+"),Exp_load_Prem,_xlfn.IFS(A39=1,1,A39=2,2,A39=3,3,OR(A39=4,A39=5),4,AND(A39&gt;=6,A39&lt;=10),5,AND(A39&gt;=11,A39&lt;=PPP),6,A39&gt;PPP,7)+1,FALSE),""),"")</f>
        <v>0</v>
      </c>
      <c r="P39" s="168">
        <f t="shared" ca="1" si="6"/>
        <v>3.1484633106074114</v>
      </c>
      <c r="Q39" s="168">
        <f t="shared" ca="1" si="7"/>
        <v>0</v>
      </c>
      <c r="R39" s="168">
        <f t="shared" ca="1" si="8"/>
        <v>0</v>
      </c>
      <c r="S39" s="168">
        <f t="shared" ca="1" si="9"/>
        <v>0</v>
      </c>
      <c r="T39" s="168">
        <f t="shared" ca="1" si="15"/>
        <v>0</v>
      </c>
      <c r="U39" s="168">
        <f t="shared" ca="1" si="10"/>
        <v>0</v>
      </c>
    </row>
    <row r="40" spans="1:21" x14ac:dyDescent="0.4">
      <c r="A40" s="168">
        <f t="shared" si="0"/>
        <v>23</v>
      </c>
      <c r="B40" s="168">
        <f t="shared" si="11"/>
        <v>42</v>
      </c>
      <c r="C40" s="168">
        <f ca="1">IFERROR(MIN(VLOOKUP(B40,INDIRECT("mort_alb_"&amp;Cover!$J$4),IF(Sex="M",2,3))/1000,1)*Mort_Int,"")</f>
        <v>7.5920000000000002E-4</v>
      </c>
      <c r="D40" s="168">
        <f t="shared" ca="1" si="1"/>
        <v>7.5346341145027978E-4</v>
      </c>
      <c r="E40" s="168">
        <f t="shared" ca="1" si="2"/>
        <v>0.9924439033855107</v>
      </c>
      <c r="F40" s="168">
        <f t="shared" ca="1" si="12"/>
        <v>2.6057692559065988E-4</v>
      </c>
      <c r="G40" s="168">
        <f t="shared" ca="1" si="3"/>
        <v>0.35180630760066695</v>
      </c>
      <c r="H40" s="168">
        <f t="shared" si="13"/>
        <v>0</v>
      </c>
      <c r="I40" s="168">
        <f t="shared" si="14"/>
        <v>0</v>
      </c>
      <c r="J40" s="168">
        <f>IFERROR(IF(B40&lt;=Age+B,IF(AND(B40&gt;=Begin_Age,B40&lt;End_Age),GB_rate,0),""),"")</f>
        <v>0</v>
      </c>
      <c r="K40" s="168">
        <f t="shared" si="4"/>
        <v>1</v>
      </c>
      <c r="L40" s="168">
        <f t="shared" si="5"/>
        <v>0</v>
      </c>
      <c r="M40" s="168">
        <f>IFERROR(IF(B40&lt;=Age+B,J40*Face_Amt*(End_Age-B40-1),""),"")</f>
        <v>0</v>
      </c>
      <c r="N40" s="168">
        <f ca="1">IFERROR(IF(B40&lt;=Age+B,MAX(MIN(A40,PPP)*Gross_Premium,CV!Z41+L41)*K40,""),"")</f>
        <v>12746.784005477068</v>
      </c>
      <c r="O40" s="171" cm="1">
        <f t="array" ref="O40">IFERROR(IF(B40&lt;=Age+B,VLOOKUP(IF(PPP&lt;20,PPP,"20+"),Exp_load_Prem,_xlfn.IFS(A40=1,1,A40=2,2,A40=3,3,OR(A40=4,A40=5),4,AND(A40&gt;=6,A40&lt;=10),5,AND(A40&gt;=11,A40&lt;=PPP),6,A40&gt;PPP,7)+1,FALSE),""),"")</f>
        <v>0</v>
      </c>
      <c r="P40" s="168">
        <f t="shared" ca="1" si="6"/>
        <v>3.3215177873154116</v>
      </c>
      <c r="Q40" s="168">
        <f t="shared" ca="1" si="7"/>
        <v>0</v>
      </c>
      <c r="R40" s="168">
        <f t="shared" ca="1" si="8"/>
        <v>0</v>
      </c>
      <c r="S40" s="168">
        <f t="shared" ca="1" si="9"/>
        <v>0</v>
      </c>
      <c r="T40" s="168">
        <f t="shared" ca="1" si="15"/>
        <v>0</v>
      </c>
      <c r="U40" s="168">
        <f t="shared" ca="1" si="10"/>
        <v>0</v>
      </c>
    </row>
    <row r="41" spans="1:21" x14ac:dyDescent="0.4">
      <c r="A41" s="168">
        <f t="shared" si="0"/>
        <v>24</v>
      </c>
      <c r="B41" s="168">
        <f t="shared" si="11"/>
        <v>43</v>
      </c>
      <c r="C41" s="168">
        <f ca="1">IFERROR(MIN(VLOOKUP(B41,INDIRECT("mort_alb_"&amp;Cover!$J$4),IF(Sex="M",2,3))/1000,1)*Mort_Int,"")</f>
        <v>8.1999999999999998E-4</v>
      </c>
      <c r="D41" s="168">
        <f t="shared" ca="1" si="1"/>
        <v>8.1318616077872944E-4</v>
      </c>
      <c r="E41" s="168">
        <f t="shared" ca="1" si="2"/>
        <v>0.99169043997406037</v>
      </c>
      <c r="F41" s="168">
        <f t="shared" ca="1" si="12"/>
        <v>2.7437207122102365E-4</v>
      </c>
      <c r="G41" s="168">
        <f t="shared" ca="1" si="3"/>
        <v>0.34296508902627953</v>
      </c>
      <c r="H41" s="168">
        <f t="shared" si="13"/>
        <v>0</v>
      </c>
      <c r="I41" s="168">
        <f t="shared" si="14"/>
        <v>0</v>
      </c>
      <c r="J41" s="168">
        <f>IFERROR(IF(B41&lt;=Age+B,IF(AND(B41&gt;=Begin_Age,B41&lt;End_Age),GB_rate,0),""),"")</f>
        <v>0</v>
      </c>
      <c r="K41" s="168">
        <f t="shared" si="4"/>
        <v>1</v>
      </c>
      <c r="L41" s="168">
        <f t="shared" si="5"/>
        <v>0</v>
      </c>
      <c r="M41" s="168">
        <f>IFERROR(IF(B41&lt;=Age+B,J41*Face_Amt*(End_Age-B41-1),""),"")</f>
        <v>0</v>
      </c>
      <c r="N41" s="168">
        <f ca="1">IFERROR(IF(B41&lt;=Age+B,MAX(MIN(A41,PPP)*Gross_Premium,CV!Z42+L42)*K41,""),"")</f>
        <v>12746.784005477068</v>
      </c>
      <c r="O41" s="171" cm="1">
        <f t="array" ref="O41">IFERROR(IF(B41&lt;=Age+B,VLOOKUP(IF(PPP&lt;20,PPP,"20+"),Exp_load_Prem,_xlfn.IFS(A41=1,1,A41=2,2,A41=3,3,OR(A41=4,A41=5),4,AND(A41&gt;=6,A41&lt;=10),5,AND(A41&gt;=11,A41&lt;=PPP),6,A41&gt;PPP,7)+1,FALSE),""),"")</f>
        <v>0</v>
      </c>
      <c r="P41" s="168">
        <f t="shared" ca="1" si="6"/>
        <v>3.4973615289897593</v>
      </c>
      <c r="Q41" s="168">
        <f t="shared" ca="1" si="7"/>
        <v>0</v>
      </c>
      <c r="R41" s="168">
        <f t="shared" ca="1" si="8"/>
        <v>0</v>
      </c>
      <c r="S41" s="168">
        <f t="shared" ca="1" si="9"/>
        <v>0</v>
      </c>
      <c r="T41" s="168">
        <f t="shared" ca="1" si="15"/>
        <v>0</v>
      </c>
      <c r="U41" s="168">
        <f t="shared" ca="1" si="10"/>
        <v>0</v>
      </c>
    </row>
    <row r="42" spans="1:21" x14ac:dyDescent="0.4">
      <c r="A42" s="168">
        <f t="shared" si="0"/>
        <v>25</v>
      </c>
      <c r="B42" s="168">
        <f t="shared" si="11"/>
        <v>44</v>
      </c>
      <c r="C42" s="168">
        <f ca="1">IFERROR(MIN(VLOOKUP(B42,INDIRECT("mort_alb_"&amp;Cover!$J$4),IF(Sex="M",2,3))/1000,1)*Mort_Int,"")</f>
        <v>8.8320000000000022E-4</v>
      </c>
      <c r="D42" s="168">
        <f t="shared" ca="1" si="1"/>
        <v>8.7514279056789053E-4</v>
      </c>
      <c r="E42" s="168">
        <f t="shared" ca="1" si="2"/>
        <v>0.99087725381328162</v>
      </c>
      <c r="F42" s="168">
        <f t="shared" ca="1" si="12"/>
        <v>2.8807460614336725E-4</v>
      </c>
      <c r="G42" s="168">
        <f t="shared" ca="1" si="3"/>
        <v>0.33432571478368589</v>
      </c>
      <c r="H42" s="168">
        <f t="shared" si="13"/>
        <v>0</v>
      </c>
      <c r="I42" s="168">
        <f t="shared" si="14"/>
        <v>0</v>
      </c>
      <c r="J42" s="168">
        <f>IFERROR(IF(B42&lt;=Age+B,IF(AND(B42&gt;=Begin_Age,B42&lt;End_Age),GB_rate,0),""),"")</f>
        <v>0</v>
      </c>
      <c r="K42" s="168">
        <f t="shared" si="4"/>
        <v>1</v>
      </c>
      <c r="L42" s="168">
        <f t="shared" si="5"/>
        <v>0</v>
      </c>
      <c r="M42" s="168">
        <f>IFERROR(IF(B42&lt;=Age+B,J42*Face_Amt*(End_Age-B42-1),""),"")</f>
        <v>0</v>
      </c>
      <c r="N42" s="168">
        <f ca="1">IFERROR(IF(B42&lt;=Age+B,MAX(MIN(A42,PPP)*Gross_Premium,CV!Z43+L43)*K42,""),"")</f>
        <v>12746.784005477068</v>
      </c>
      <c r="O42" s="171" cm="1">
        <f t="array" ref="O42">IFERROR(IF(B42&lt;=Age+B,VLOOKUP(IF(PPP&lt;20,PPP,"20+"),Exp_load_Prem,_xlfn.IFS(A42=1,1,A42=2,2,A42=3,3,OR(A42=4,A42=5),4,AND(A42&gt;=6,A42&lt;=10),5,AND(A42&gt;=11,A42&lt;=PPP),6,A42&gt;PPP,7)+1,FALSE),""),"")</f>
        <v>0</v>
      </c>
      <c r="P42" s="168">
        <f t="shared" ca="1" si="6"/>
        <v>3.6720247819723797</v>
      </c>
      <c r="Q42" s="168">
        <f t="shared" ca="1" si="7"/>
        <v>0</v>
      </c>
      <c r="R42" s="168">
        <f t="shared" ca="1" si="8"/>
        <v>0</v>
      </c>
      <c r="S42" s="168">
        <f t="shared" ca="1" si="9"/>
        <v>0</v>
      </c>
      <c r="T42" s="168">
        <f t="shared" ca="1" si="15"/>
        <v>0</v>
      </c>
      <c r="U42" s="168">
        <f t="shared" ca="1" si="10"/>
        <v>0</v>
      </c>
    </row>
    <row r="43" spans="1:21" x14ac:dyDescent="0.4">
      <c r="A43" s="168">
        <f t="shared" si="0"/>
        <v>26</v>
      </c>
      <c r="B43" s="168">
        <f t="shared" si="11"/>
        <v>45</v>
      </c>
      <c r="C43" s="168">
        <f ca="1">IFERROR(MIN(VLOOKUP(B43,INDIRECT("mort_alb_"&amp;Cover!$J$4),IF(Sex="M",2,3))/1000,1)*Mort_Int,"")</f>
        <v>9.5040000000000012E-4</v>
      </c>
      <c r="D43" s="168">
        <f t="shared" ca="1" si="1"/>
        <v>9.4089800631598725E-4</v>
      </c>
      <c r="E43" s="168">
        <f t="shared" ca="1" si="2"/>
        <v>0.99000211102271374</v>
      </c>
      <c r="F43" s="168">
        <f t="shared" ca="1" si="12"/>
        <v>3.0216540494666937E-4</v>
      </c>
      <c r="G43" s="168">
        <f t="shared" ca="1" si="3"/>
        <v>0.32588335445111116</v>
      </c>
      <c r="H43" s="168">
        <f t="shared" si="13"/>
        <v>0</v>
      </c>
      <c r="I43" s="168">
        <f t="shared" si="14"/>
        <v>0</v>
      </c>
      <c r="J43" s="168">
        <f>IFERROR(IF(B43&lt;=Age+B,IF(AND(B43&gt;=Begin_Age,B43&lt;End_Age),GB_rate,0),""),"")</f>
        <v>0</v>
      </c>
      <c r="K43" s="168">
        <f t="shared" si="4"/>
        <v>1</v>
      </c>
      <c r="L43" s="168">
        <f t="shared" si="5"/>
        <v>0</v>
      </c>
      <c r="M43" s="168">
        <f>IFERROR(IF(B43&lt;=Age+B,J43*Face_Amt*(End_Age-B43-1),""),"")</f>
        <v>0</v>
      </c>
      <c r="N43" s="168">
        <f ca="1">IFERROR(IF(B43&lt;=Age+B,MAX(MIN(A43,PPP)*Gross_Premium,CV!Z44+L44)*K43,""),"")</f>
        <v>12746.784005477068</v>
      </c>
      <c r="O43" s="171" cm="1">
        <f t="array" ref="O43">IFERROR(IF(B43&lt;=Age+B,VLOOKUP(IF(PPP&lt;20,PPP,"20+"),Exp_load_Prem,_xlfn.IFS(A43=1,1,A43=2,2,A43=3,3,OR(A43=4,A43=5),4,AND(A43&gt;=6,A43&lt;=10),5,AND(A43&gt;=11,A43&lt;=PPP),6,A43&gt;PPP,7)+1,FALSE),""),"")</f>
        <v>0</v>
      </c>
      <c r="P43" s="168">
        <f t="shared" ca="1" si="6"/>
        <v>3.8516371507827065</v>
      </c>
      <c r="Q43" s="168">
        <f t="shared" ca="1" si="7"/>
        <v>0</v>
      </c>
      <c r="R43" s="168">
        <f t="shared" ca="1" si="8"/>
        <v>0</v>
      </c>
      <c r="S43" s="168">
        <f t="shared" ca="1" si="9"/>
        <v>0</v>
      </c>
      <c r="T43" s="168">
        <f t="shared" ca="1" si="15"/>
        <v>0</v>
      </c>
      <c r="U43" s="168">
        <f t="shared" ca="1" si="10"/>
        <v>0</v>
      </c>
    </row>
    <row r="44" spans="1:21" x14ac:dyDescent="0.4">
      <c r="A44" s="168">
        <f t="shared" si="0"/>
        <v>27</v>
      </c>
      <c r="B44" s="168">
        <f t="shared" si="11"/>
        <v>46</v>
      </c>
      <c r="C44" s="168">
        <f ca="1">IFERROR(MIN(VLOOKUP(B44,INDIRECT("mort_alb_"&amp;Cover!$J$4),IF(Sex="M",2,3))/1000,1)*Mort_Int,"")</f>
        <v>1.0215999999999999E-3</v>
      </c>
      <c r="D44" s="168">
        <f t="shared" ca="1" si="1"/>
        <v>1.0104249352175518E-3</v>
      </c>
      <c r="E44" s="168">
        <f t="shared" ca="1" si="2"/>
        <v>0.98906121301639771</v>
      </c>
      <c r="F44" s="168">
        <f t="shared" ca="1" si="12"/>
        <v>3.1657920326007782E-4</v>
      </c>
      <c r="G44" s="168">
        <f t="shared" ca="1" si="3"/>
        <v>0.31763281454735692</v>
      </c>
      <c r="H44" s="168">
        <f t="shared" si="13"/>
        <v>0</v>
      </c>
      <c r="I44" s="168">
        <f t="shared" si="14"/>
        <v>0</v>
      </c>
      <c r="J44" s="168">
        <f>IFERROR(IF(B44&lt;=Age+B,IF(AND(B44&gt;=Begin_Age,B44&lt;End_Age),GB_rate,0),""),"")</f>
        <v>0</v>
      </c>
      <c r="K44" s="168">
        <f t="shared" si="4"/>
        <v>1</v>
      </c>
      <c r="L44" s="168">
        <f t="shared" si="5"/>
        <v>0</v>
      </c>
      <c r="M44" s="168">
        <f>IFERROR(IF(B44&lt;=Age+B,J44*Face_Amt*(End_Age-B44-1),""),"")</f>
        <v>0</v>
      </c>
      <c r="N44" s="168">
        <f ca="1">IFERROR(IF(B44&lt;=Age+B,MAX(MIN(A44,PPP)*Gross_Premium,CV!Z45+L45)*K44,""),"")</f>
        <v>12746.784005477068</v>
      </c>
      <c r="O44" s="171" cm="1">
        <f t="array" ref="O44">IFERROR(IF(B44&lt;=Age+B,VLOOKUP(IF(PPP&lt;20,PPP,"20+"),Exp_load_Prem,_xlfn.IFS(A44=1,1,A44=2,2,A44=3,3,OR(A44=4,A44=5),4,AND(A44&gt;=6,A44&lt;=10),5,AND(A44&gt;=11,A44&lt;=PPP),6,A44&gt;PPP,7)+1,FALSE),""),"")</f>
        <v>0</v>
      </c>
      <c r="P44" s="168">
        <f t="shared" ca="1" si="6"/>
        <v>4.0353667245822331</v>
      </c>
      <c r="Q44" s="168">
        <f t="shared" ca="1" si="7"/>
        <v>0</v>
      </c>
      <c r="R44" s="168">
        <f t="shared" ca="1" si="8"/>
        <v>0</v>
      </c>
      <c r="S44" s="168">
        <f t="shared" ca="1" si="9"/>
        <v>0</v>
      </c>
      <c r="T44" s="168">
        <f t="shared" ca="1" si="15"/>
        <v>0</v>
      </c>
      <c r="U44" s="168">
        <f t="shared" ca="1" si="10"/>
        <v>0</v>
      </c>
    </row>
    <row r="45" spans="1:21" x14ac:dyDescent="0.4">
      <c r="A45" s="168">
        <f t="shared" si="0"/>
        <v>28</v>
      </c>
      <c r="B45" s="168">
        <f t="shared" si="11"/>
        <v>47</v>
      </c>
      <c r="C45" s="168">
        <f ca="1">IFERROR(MIN(VLOOKUP(B45,INDIRECT("mort_alb_"&amp;Cover!$J$4),IF(Sex="M",2,3))/1000,1)*Mort_Int,"")</f>
        <v>1.0968E-3</v>
      </c>
      <c r="D45" s="168">
        <f t="shared" ca="1" si="1"/>
        <v>1.0836941043674384E-3</v>
      </c>
      <c r="E45" s="168">
        <f t="shared" ca="1" si="2"/>
        <v>0.98805078808118019</v>
      </c>
      <c r="F45" s="168">
        <f t="shared" ca="1" si="12"/>
        <v>3.312540310040709E-4</v>
      </c>
      <c r="G45" s="168">
        <f t="shared" ca="1" si="3"/>
        <v>0.30956909352586859</v>
      </c>
      <c r="H45" s="168">
        <f t="shared" si="13"/>
        <v>0</v>
      </c>
      <c r="I45" s="168">
        <f t="shared" si="14"/>
        <v>0</v>
      </c>
      <c r="J45" s="168">
        <f>IFERROR(IF(B45&lt;=Age+B,IF(AND(B45&gt;=Begin_Age,B45&lt;End_Age),GB_rate,0),""),"")</f>
        <v>0</v>
      </c>
      <c r="K45" s="168">
        <f t="shared" si="4"/>
        <v>1</v>
      </c>
      <c r="L45" s="168">
        <f t="shared" si="5"/>
        <v>0</v>
      </c>
      <c r="M45" s="168">
        <f>IFERROR(IF(B45&lt;=Age+B,J45*Face_Amt*(End_Age-B45-1),""),"")</f>
        <v>0</v>
      </c>
      <c r="N45" s="168">
        <f ca="1">IFERROR(IF(B45&lt;=Age+B,MAX(MIN(A45,PPP)*Gross_Premium,CV!Z46+L46)*K45,""),"")</f>
        <v>12746.784005477068</v>
      </c>
      <c r="O45" s="171" cm="1">
        <f t="array" ref="O45">IFERROR(IF(B45&lt;=Age+B,VLOOKUP(IF(PPP&lt;20,PPP,"20+"),Exp_load_Prem,_xlfn.IFS(A45=1,1,A45=2,2,A45=3,3,OR(A45=4,A45=5),4,AND(A45&gt;=6,A45&lt;=10),5,AND(A45&gt;=11,A45&lt;=PPP),6,A45&gt;PPP,7)+1,FALSE),""),"")</f>
        <v>0</v>
      </c>
      <c r="P45" s="168">
        <f t="shared" ca="1" si="6"/>
        <v>4.2224235841524953</v>
      </c>
      <c r="Q45" s="168">
        <f t="shared" ca="1" si="7"/>
        <v>0</v>
      </c>
      <c r="R45" s="168">
        <f t="shared" ca="1" si="8"/>
        <v>0</v>
      </c>
      <c r="S45" s="168">
        <f t="shared" ca="1" si="9"/>
        <v>0</v>
      </c>
      <c r="T45" s="168">
        <f t="shared" ca="1" si="15"/>
        <v>0</v>
      </c>
      <c r="U45" s="168">
        <f t="shared" ca="1" si="10"/>
        <v>0</v>
      </c>
    </row>
    <row r="46" spans="1:21" x14ac:dyDescent="0.4">
      <c r="A46" s="168">
        <f t="shared" si="0"/>
        <v>29</v>
      </c>
      <c r="B46" s="168">
        <f t="shared" si="11"/>
        <v>48</v>
      </c>
      <c r="C46" s="168">
        <f ca="1">IFERROR(MIN(VLOOKUP(B46,INDIRECT("mort_alb_"&amp;Cover!$J$4),IF(Sex="M",2,3))/1000,1)*Mort_Int,"")</f>
        <v>1.1768000000000002E-3</v>
      </c>
      <c r="D46" s="168">
        <f t="shared" ca="1" si="1"/>
        <v>1.1614628761919133E-3</v>
      </c>
      <c r="E46" s="168">
        <f t="shared" ca="1" si="2"/>
        <v>0.9869670939768127</v>
      </c>
      <c r="F46" s="168">
        <f t="shared" ca="1" si="12"/>
        <v>3.4636653803589722E-4</v>
      </c>
      <c r="G46" s="168">
        <f t="shared" ca="1" si="3"/>
        <v>0.30168737379911165</v>
      </c>
      <c r="H46" s="168">
        <f t="shared" si="13"/>
        <v>0</v>
      </c>
      <c r="I46" s="168">
        <f t="shared" si="14"/>
        <v>0</v>
      </c>
      <c r="J46" s="168">
        <f>IFERROR(IF(B46&lt;=Age+B,IF(AND(B46&gt;=Begin_Age,B46&lt;End_Age),GB_rate,0),""),"")</f>
        <v>0</v>
      </c>
      <c r="K46" s="168">
        <f t="shared" si="4"/>
        <v>1</v>
      </c>
      <c r="L46" s="168">
        <f t="shared" si="5"/>
        <v>0</v>
      </c>
      <c r="M46" s="168">
        <f>IFERROR(IF(B46&lt;=Age+B,J46*Face_Amt*(End_Age-B46-1),""),"")</f>
        <v>0</v>
      </c>
      <c r="N46" s="168">
        <f ca="1">IFERROR(IF(B46&lt;=Age+B,MAX(MIN(A46,PPP)*Gross_Premium,CV!Z47+L47)*K46,""),"")</f>
        <v>12746.784005477068</v>
      </c>
      <c r="O46" s="171" cm="1">
        <f t="array" ref="O46">IFERROR(IF(B46&lt;=Age+B,VLOOKUP(IF(PPP&lt;20,PPP,"20+"),Exp_load_Prem,_xlfn.IFS(A46=1,1,A46=2,2,A46=3,3,OR(A46=4,A46=5),4,AND(A46&gt;=6,A46&lt;=10),5,AND(A46&gt;=11,A46&lt;=PPP),6,A46&gt;PPP,7)+1,FALSE),""),"")</f>
        <v>0</v>
      </c>
      <c r="P46" s="168">
        <f t="shared" ca="1" si="6"/>
        <v>4.4150594470684394</v>
      </c>
      <c r="Q46" s="168">
        <f t="shared" ca="1" si="7"/>
        <v>0</v>
      </c>
      <c r="R46" s="168">
        <f t="shared" ca="1" si="8"/>
        <v>0</v>
      </c>
      <c r="S46" s="168">
        <f t="shared" ca="1" si="9"/>
        <v>0</v>
      </c>
      <c r="T46" s="168">
        <f t="shared" ca="1" si="15"/>
        <v>0</v>
      </c>
      <c r="U46" s="168">
        <f t="shared" ca="1" si="10"/>
        <v>0</v>
      </c>
    </row>
    <row r="47" spans="1:21" x14ac:dyDescent="0.4">
      <c r="A47" s="168">
        <f t="shared" si="0"/>
        <v>30</v>
      </c>
      <c r="B47" s="168">
        <f t="shared" si="11"/>
        <v>49</v>
      </c>
      <c r="C47" s="168">
        <f ca="1">IFERROR(MIN(VLOOKUP(B47,INDIRECT("mort_alb_"&amp;Cover!$J$4),IF(Sex="M",2,3))/1000,1)*Mort_Int,"")</f>
        <v>1.2640000000000001E-3</v>
      </c>
      <c r="D47" s="168">
        <f t="shared" ca="1" si="1"/>
        <v>1.2460583177111848E-3</v>
      </c>
      <c r="E47" s="168">
        <f t="shared" ca="1" si="2"/>
        <v>0.98580563110062081</v>
      </c>
      <c r="F47" s="168">
        <f t="shared" ca="1" si="12"/>
        <v>3.6253095823476298E-4</v>
      </c>
      <c r="G47" s="168">
        <f t="shared" ca="1" si="3"/>
        <v>0.29398277863182914</v>
      </c>
      <c r="H47" s="168">
        <f t="shared" si="13"/>
        <v>0</v>
      </c>
      <c r="I47" s="168">
        <f t="shared" si="14"/>
        <v>0</v>
      </c>
      <c r="J47" s="168">
        <f>IFERROR(IF(B47&lt;=Age+B,IF(AND(B47&gt;=Begin_Age,B47&lt;End_Age),GB_rate,0),""),"")</f>
        <v>0</v>
      </c>
      <c r="K47" s="168">
        <f t="shared" si="4"/>
        <v>1</v>
      </c>
      <c r="L47" s="168">
        <f t="shared" si="5"/>
        <v>0</v>
      </c>
      <c r="M47" s="168">
        <f>IFERROR(IF(B47&lt;=Age+B,J47*Face_Amt*(End_Age-B47-1),""),"")</f>
        <v>0</v>
      </c>
      <c r="N47" s="168">
        <f ca="1">IFERROR(IF(B47&lt;=Age+B,MAX(MIN(A47,PPP)*Gross_Premium,CV!Z48+L48)*K47,""),"")</f>
        <v>13021.556242568235</v>
      </c>
      <c r="O47" s="171" cm="1">
        <f t="array" ref="O47">IFERROR(IF(B47&lt;=Age+B,VLOOKUP(IF(PPP&lt;20,PPP,"20+"),Exp_load_Prem,_xlfn.IFS(A47=1,1,A47=2,2,A47=3,3,OR(A47=4,A47=5),4,AND(A47&gt;=6,A47&lt;=10),5,AND(A47&gt;=11,A47&lt;=PPP),6,A47&gt;PPP,7)+1,FALSE),""),"")</f>
        <v>0</v>
      </c>
      <c r="P47" s="168">
        <f t="shared" ca="1" si="6"/>
        <v>4.7207172623261222</v>
      </c>
      <c r="Q47" s="168">
        <f t="shared" ca="1" si="7"/>
        <v>0</v>
      </c>
      <c r="R47" s="168">
        <f t="shared" ca="1" si="8"/>
        <v>0</v>
      </c>
      <c r="S47" s="168">
        <f t="shared" ca="1" si="9"/>
        <v>0</v>
      </c>
      <c r="T47" s="168">
        <f t="shared" ca="1" si="15"/>
        <v>0</v>
      </c>
      <c r="U47" s="168">
        <f t="shared" ca="1" si="10"/>
        <v>0</v>
      </c>
    </row>
    <row r="48" spans="1:21" x14ac:dyDescent="0.4">
      <c r="A48" s="168">
        <f t="shared" si="0"/>
        <v>31</v>
      </c>
      <c r="B48" s="168">
        <f t="shared" si="11"/>
        <v>50</v>
      </c>
      <c r="C48" s="168">
        <f ca="1">IFERROR(MIN(VLOOKUP(B48,INDIRECT("mort_alb_"&amp;Cover!$J$4),IF(Sex="M",2,3))/1000,1)*Mort_Int,"")</f>
        <v>1.3584000000000001E-3</v>
      </c>
      <c r="D48" s="168">
        <f t="shared" ca="1" si="1"/>
        <v>1.3374257236683045E-3</v>
      </c>
      <c r="E48" s="168">
        <f t="shared" ca="1" si="2"/>
        <v>0.98455957278290962</v>
      </c>
      <c r="F48" s="168">
        <f t="shared" ca="1" si="12"/>
        <v>3.7962301762138628E-4</v>
      </c>
      <c r="G48" s="168">
        <f t="shared" ca="1" si="3"/>
        <v>0.28644993599964735</v>
      </c>
      <c r="H48" s="168">
        <f t="shared" si="13"/>
        <v>0</v>
      </c>
      <c r="I48" s="168">
        <f t="shared" si="14"/>
        <v>0</v>
      </c>
      <c r="J48" s="168">
        <f>IFERROR(IF(B48&lt;=Age+B,IF(AND(B48&gt;=Begin_Age,B48&lt;End_Age),GB_rate,0),""),"")</f>
        <v>0</v>
      </c>
      <c r="K48" s="168">
        <f t="shared" si="4"/>
        <v>1</v>
      </c>
      <c r="L48" s="168">
        <f t="shared" si="5"/>
        <v>0</v>
      </c>
      <c r="M48" s="168">
        <f>IFERROR(IF(B48&lt;=Age+B,J48*Face_Amt*(End_Age-B48-1),""),"")</f>
        <v>0</v>
      </c>
      <c r="N48" s="168">
        <f ca="1">IFERROR(IF(B48&lt;=Age+B,MAX(MIN(A48,PPP)*Gross_Premium,CV!Z49+L49)*K48,""),"")</f>
        <v>13607.526273483805</v>
      </c>
      <c r="O48" s="171" cm="1">
        <f t="array" ref="O48">IFERROR(IF(B48&lt;=Age+B,VLOOKUP(IF(PPP&lt;20,PPP,"20+"),Exp_load_Prem,_xlfn.IFS(A48=1,1,A48=2,2,A48=3,3,OR(A48=4,A48=5),4,AND(A48&gt;=6,A48&lt;=10),5,AND(A48&gt;=11,A48&lt;=PPP),6,A48&gt;PPP,7)+1,FALSE),""),"")</f>
        <v>0</v>
      </c>
      <c r="P48" s="168">
        <f t="shared" ca="1" si="6"/>
        <v>5.1657301863022189</v>
      </c>
      <c r="Q48" s="168">
        <f t="shared" ca="1" si="7"/>
        <v>0</v>
      </c>
      <c r="R48" s="168">
        <f t="shared" ca="1" si="8"/>
        <v>0</v>
      </c>
      <c r="S48" s="168">
        <f t="shared" ca="1" si="9"/>
        <v>0</v>
      </c>
      <c r="T48" s="168">
        <f t="shared" ca="1" si="15"/>
        <v>0</v>
      </c>
      <c r="U48" s="168">
        <f t="shared" ca="1" si="10"/>
        <v>0</v>
      </c>
    </row>
    <row r="49" spans="1:21" x14ac:dyDescent="0.4">
      <c r="A49" s="168">
        <f t="shared" si="0"/>
        <v>32</v>
      </c>
      <c r="B49" s="168">
        <f t="shared" si="11"/>
        <v>51</v>
      </c>
      <c r="C49" s="168">
        <f ca="1">IFERROR(MIN(VLOOKUP(B49,INDIRECT("mort_alb_"&amp;Cover!$J$4),IF(Sex="M",2,3))/1000,1)*Mort_Int,"")</f>
        <v>1.4648E-3</v>
      </c>
      <c r="D49" s="168">
        <f t="shared" ca="1" si="1"/>
        <v>1.4402238010123767E-3</v>
      </c>
      <c r="E49" s="168">
        <f t="shared" ca="1" si="2"/>
        <v>0.98322214705924127</v>
      </c>
      <c r="F49" s="168">
        <f t="shared" ca="1" si="12"/>
        <v>3.9883106975482815E-4</v>
      </c>
      <c r="G49" s="168">
        <f t="shared" ca="1" si="3"/>
        <v>0.27908372917715646</v>
      </c>
      <c r="H49" s="168">
        <f t="shared" si="13"/>
        <v>0</v>
      </c>
      <c r="I49" s="168">
        <f t="shared" si="14"/>
        <v>0</v>
      </c>
      <c r="J49" s="168">
        <f>IFERROR(IF(B49&lt;=Age+B,IF(AND(B49&gt;=Begin_Age,B49&lt;End_Age),GB_rate,0),""),"")</f>
        <v>0</v>
      </c>
      <c r="K49" s="168">
        <f t="shared" si="4"/>
        <v>1</v>
      </c>
      <c r="L49" s="168">
        <f t="shared" si="5"/>
        <v>0</v>
      </c>
      <c r="M49" s="168">
        <f>IFERROR(IF(B49&lt;=Age+B,J49*Face_Amt*(End_Age-B49-1),""),"")</f>
        <v>0</v>
      </c>
      <c r="N49" s="168">
        <f ca="1">IFERROR(IF(B49&lt;=Age+B,MAX(MIN(A49,PPP)*Gross_Premium,CV!Z50+L50)*K49,""),"")</f>
        <v>14219.864955790574</v>
      </c>
      <c r="O49" s="171" cm="1">
        <f t="array" ref="O49">IFERROR(IF(B49&lt;=Age+B,VLOOKUP(IF(PPP&lt;20,PPP,"20+"),Exp_load_Prem,_xlfn.IFS(A49=1,1,A49=2,2,A49=3,3,OR(A49=4,A49=5),4,AND(A49&gt;=6,A49&lt;=10),5,AND(A49&gt;=11,A49&lt;=PPP),6,A49&gt;PPP,7)+1,FALSE),""),"")</f>
        <v>0</v>
      </c>
      <c r="P49" s="168">
        <f t="shared" ca="1" si="6"/>
        <v>5.671323952087147</v>
      </c>
      <c r="Q49" s="168">
        <f t="shared" ca="1" si="7"/>
        <v>0</v>
      </c>
      <c r="R49" s="168">
        <f t="shared" ca="1" si="8"/>
        <v>0</v>
      </c>
      <c r="S49" s="168">
        <f t="shared" ca="1" si="9"/>
        <v>0</v>
      </c>
      <c r="T49" s="168">
        <f t="shared" ca="1" si="15"/>
        <v>0</v>
      </c>
      <c r="U49" s="168">
        <f t="shared" ca="1" si="10"/>
        <v>0</v>
      </c>
    </row>
    <row r="50" spans="1:21" x14ac:dyDescent="0.4">
      <c r="A50" s="168">
        <f t="shared" ref="A50:A81" si="16">IF(B50&lt;=Age+B,B50-Age+1,"")</f>
        <v>33</v>
      </c>
      <c r="B50" s="168">
        <f t="shared" si="11"/>
        <v>52</v>
      </c>
      <c r="C50" s="168">
        <f ca="1">IFERROR(MIN(VLOOKUP(B50,INDIRECT("mort_alb_"&amp;Cover!$J$4),IF(Sex="M",2,3))/1000,1)*Mort_Int,"")</f>
        <v>1.5840000000000001E-3</v>
      </c>
      <c r="D50" s="168">
        <f t="shared" ca="1" si="1"/>
        <v>1.5551425664410347E-3</v>
      </c>
      <c r="E50" s="168">
        <f t="shared" ref="E50:E81" ca="1" si="17">IFERROR(IF(B50&lt;=Age+B,IF(A50=1,1,E49-D49),""),"")</f>
        <v>0.98178192325822888</v>
      </c>
      <c r="F50" s="168">
        <f t="shared" ref="F50:F81" ca="1" si="18">IFERROR(D50/(1+Prem_Int)^(B50+1),"")</f>
        <v>4.201509433829978E-4</v>
      </c>
      <c r="G50" s="168">
        <f t="shared" ref="G50:G81" ca="1" si="19">IFERROR(E50/(1+Prem_Int)^B50,"")</f>
        <v>0.2718779778835686</v>
      </c>
      <c r="H50" s="168">
        <f t="shared" ref="H50:H81" si="20">IFERROR(IF(B50&lt;=Age+B,IF(A50&lt;=PPP,1,0),""),"")</f>
        <v>0</v>
      </c>
      <c r="I50" s="168">
        <f t="shared" ref="I50:I81" si="21">IFERROR(IF(B50&lt;=Age+B,IF(AND(B50&gt;=Begin_Age,A50&lt;=B+1),AB_rate,0),""),"")</f>
        <v>0</v>
      </c>
      <c r="J50" s="168">
        <f>IFERROR(IF(B50&lt;=Age+B,IF(AND(B50&gt;=Begin_Age,B50&lt;End_Age),GB_rate,0),""),"")</f>
        <v>0</v>
      </c>
      <c r="K50" s="168">
        <f t="shared" ref="K50:K81" si="22">IFERROR(IF(B50&lt;=Age+B,IF(B50&lt;Begin_Age,1,0),""),"")</f>
        <v>1</v>
      </c>
      <c r="L50" s="168">
        <f t="shared" ref="L50:L81" si="23">IFERROR(IF(B50&lt;=Age+B,I50*Face_Amt,""),"")</f>
        <v>0</v>
      </c>
      <c r="M50" s="168">
        <f>IFERROR(IF(B50&lt;=Age+B,J50*Face_Amt*(End_Age-B50-1),""),"")</f>
        <v>0</v>
      </c>
      <c r="N50" s="168">
        <f ca="1">IFERROR(IF(B50&lt;=Age+B,MAX(MIN(A50,PPP)*Gross_Premium,CV!Z51+L51)*K50,""),"")</f>
        <v>14859.758878801149</v>
      </c>
      <c r="O50" s="171" cm="1">
        <f t="array" ref="O50">IFERROR(IF(B50&lt;=Age+B,VLOOKUP(IF(PPP&lt;20,PPP,"20+"),Exp_load_Prem,_xlfn.IFS(A50=1,1,A50=2,2,A50=3,3,OR(A50=4,A50=5),4,AND(A50&gt;=6,A50&lt;=10),5,AND(A50&gt;=11,A50&lt;=PPP),6,A50&gt;PPP,7)+1,FALSE),""),"")</f>
        <v>0</v>
      </c>
      <c r="P50" s="168">
        <f t="shared" ref="P50:P81" ca="1" si="24">IFERROR(IF(B50&lt;=Age+B,(M50+N50)*F50,""),"")</f>
        <v>6.2433417113721807</v>
      </c>
      <c r="Q50" s="168">
        <f t="shared" ref="Q50:Q81" ca="1" si="25">IFERROR(IF(B50&lt;=Age+B,L50*G50,""),"")</f>
        <v>0</v>
      </c>
      <c r="R50" s="168">
        <f t="shared" ref="R50:R81" ca="1" si="26">IFERROR(IF(B50&lt;=Age+B,H50*G50,""),"")</f>
        <v>0</v>
      </c>
      <c r="S50" s="168">
        <f t="shared" ref="S50:S81" ca="1" si="27">IFERROR(IF(B50&lt;=Age+B,R50*O50,""),"")</f>
        <v>0</v>
      </c>
      <c r="T50" s="168">
        <f t="shared" ref="T50:T81" ca="1" si="28">IFERROR(IF(B50&lt;=Age+B,U50*(1-O50),""),"")</f>
        <v>0</v>
      </c>
      <c r="U50" s="168">
        <f t="shared" ref="U50:U81" ca="1" si="29">IFERROR(IF(B50&lt;=Age+B,$E$10*H50,""),"")</f>
        <v>0</v>
      </c>
    </row>
    <row r="51" spans="1:21" x14ac:dyDescent="0.4">
      <c r="A51" s="168">
        <f t="shared" si="16"/>
        <v>34</v>
      </c>
      <c r="B51" s="168">
        <f t="shared" ref="B51:B82" si="30">IFERROR(IF(AND(Age&gt;=0,Age&lt;=60),IF(B50+1&lt;=Age+B,B50+1,""),""),"")</f>
        <v>53</v>
      </c>
      <c r="C51" s="168">
        <f ca="1">IFERROR(MIN(VLOOKUP(B51,INDIRECT("mort_alb_"&amp;Cover!$J$4),IF(Sex="M",2,3))/1000,1)*Mort_Int,"")</f>
        <v>1.7207999999999998E-3</v>
      </c>
      <c r="D51" s="168">
        <f t="shared" ca="1" si="1"/>
        <v>1.6867742442144282E-3</v>
      </c>
      <c r="E51" s="168">
        <f t="shared" ca="1" si="17"/>
        <v>0.98022678069178781</v>
      </c>
      <c r="F51" s="168">
        <f t="shared" ca="1" si="18"/>
        <v>4.4459874237248021E-4</v>
      </c>
      <c r="G51" s="168">
        <f t="shared" ca="1" si="19"/>
        <v>0.26482665674790346</v>
      </c>
      <c r="H51" s="168">
        <f t="shared" si="20"/>
        <v>0</v>
      </c>
      <c r="I51" s="168">
        <f t="shared" si="21"/>
        <v>0</v>
      </c>
      <c r="J51" s="168">
        <f>IFERROR(IF(B51&lt;=Age+B,IF(AND(B51&gt;=Begin_Age,B51&lt;End_Age),GB_rate,0),""),"")</f>
        <v>0</v>
      </c>
      <c r="K51" s="168">
        <f t="shared" si="22"/>
        <v>1</v>
      </c>
      <c r="L51" s="168">
        <f t="shared" si="23"/>
        <v>0</v>
      </c>
      <c r="M51" s="168">
        <f>IFERROR(IF(B51&lt;=Age+B,J51*Face_Amt*(End_Age-B51-1),""),"")</f>
        <v>0</v>
      </c>
      <c r="N51" s="168">
        <f ca="1">IFERROR(IF(B51&lt;=Age+B,MAX(MIN(A51,PPP)*Gross_Premium,CV!Z52+L52)*K51,""),"")</f>
        <v>15528.448028347195</v>
      </c>
      <c r="O51" s="171" cm="1">
        <f t="array" ref="O51">IFERROR(IF(B51&lt;=Age+B,VLOOKUP(IF(PPP&lt;20,PPP,"20+"),Exp_load_Prem,_xlfn.IFS(A51=1,1,A51=2,2,A51=3,3,OR(A51=4,A51=5),4,AND(A51&gt;=6,A51&lt;=10),5,AND(A51&gt;=11,A51&lt;=PPP),6,A51&gt;PPP,7)+1,FALSE),""),"")</f>
        <v>0</v>
      </c>
      <c r="P51" s="168">
        <f t="shared" ca="1" si="24"/>
        <v>6.9039284643995824</v>
      </c>
      <c r="Q51" s="168">
        <f t="shared" ca="1" si="25"/>
        <v>0</v>
      </c>
      <c r="R51" s="168">
        <f t="shared" ca="1" si="26"/>
        <v>0</v>
      </c>
      <c r="S51" s="168">
        <f t="shared" ca="1" si="27"/>
        <v>0</v>
      </c>
      <c r="T51" s="168">
        <f t="shared" ca="1" si="28"/>
        <v>0</v>
      </c>
      <c r="U51" s="168">
        <f t="shared" ca="1" si="29"/>
        <v>0</v>
      </c>
    </row>
    <row r="52" spans="1:21" x14ac:dyDescent="0.4">
      <c r="A52" s="168">
        <f t="shared" si="16"/>
        <v>35</v>
      </c>
      <c r="B52" s="168">
        <f t="shared" si="30"/>
        <v>54</v>
      </c>
      <c r="C52" s="168">
        <f ca="1">IFERROR(MIN(VLOOKUP(B52,INDIRECT("mort_alb_"&amp;Cover!$J$4),IF(Sex="M",2,3))/1000,1)*Mort_Int,"")</f>
        <v>1.8776000000000001E-3</v>
      </c>
      <c r="D52" s="168">
        <f t="shared" ca="1" si="1"/>
        <v>1.8373067161059639E-3</v>
      </c>
      <c r="E52" s="168">
        <f t="shared" ca="1" si="17"/>
        <v>0.97854000644757344</v>
      </c>
      <c r="F52" s="168">
        <f t="shared" ca="1" si="18"/>
        <v>4.7246437372632297E-4</v>
      </c>
      <c r="G52" s="168">
        <f t="shared" ca="1" si="19"/>
        <v>0.25792287125558216</v>
      </c>
      <c r="H52" s="168">
        <f t="shared" si="20"/>
        <v>0</v>
      </c>
      <c r="I52" s="168">
        <f t="shared" si="21"/>
        <v>0</v>
      </c>
      <c r="J52" s="168">
        <f>IFERROR(IF(B52&lt;=Age+B,IF(AND(B52&gt;=Begin_Age,B52&lt;End_Age),GB_rate,0),""),"")</f>
        <v>0</v>
      </c>
      <c r="K52" s="168">
        <f t="shared" si="22"/>
        <v>1</v>
      </c>
      <c r="L52" s="168">
        <f t="shared" si="23"/>
        <v>0</v>
      </c>
      <c r="M52" s="168">
        <f>IFERROR(IF(B52&lt;=Age+B,J52*Face_Amt*(End_Age-B52-1),""),"")</f>
        <v>0</v>
      </c>
      <c r="N52" s="168">
        <f ca="1">IFERROR(IF(B52&lt;=Age+B,MAX(MIN(A52,PPP)*Gross_Premium,CV!Z53+L53)*K52,""),"")</f>
        <v>16227.228189622821</v>
      </c>
      <c r="O52" s="171" cm="1">
        <f t="array" ref="O52">IFERROR(IF(B52&lt;=Age+B,VLOOKUP(IF(PPP&lt;20,PPP,"20+"),Exp_load_Prem,_xlfn.IFS(A52=1,1,A52=2,2,A52=3,3,OR(A52=4,A52=5),4,AND(A52&gt;=6,A52&lt;=10),5,AND(A52&gt;=11,A52&lt;=PPP),6,A52&gt;PPP,7)+1,FALSE),""),"")</f>
        <v>0</v>
      </c>
      <c r="P52" s="168">
        <f t="shared" ca="1" si="24"/>
        <v>7.6667872039242804</v>
      </c>
      <c r="Q52" s="168">
        <f t="shared" ca="1" si="25"/>
        <v>0</v>
      </c>
      <c r="R52" s="168">
        <f t="shared" ca="1" si="26"/>
        <v>0</v>
      </c>
      <c r="S52" s="168">
        <f t="shared" ca="1" si="27"/>
        <v>0</v>
      </c>
      <c r="T52" s="168">
        <f t="shared" ca="1" si="28"/>
        <v>0</v>
      </c>
      <c r="U52" s="168">
        <f t="shared" ca="1" si="29"/>
        <v>0</v>
      </c>
    </row>
    <row r="53" spans="1:21" x14ac:dyDescent="0.4">
      <c r="A53" s="168">
        <f t="shared" si="16"/>
        <v>36</v>
      </c>
      <c r="B53" s="168">
        <f t="shared" si="30"/>
        <v>55</v>
      </c>
      <c r="C53" s="168">
        <f ca="1">IFERROR(MIN(VLOOKUP(B53,INDIRECT("mort_alb_"&amp;Cover!$J$4),IF(Sex="M",2,3))/1000,1)*Mort_Int,"")</f>
        <v>2.0560000000000001E-3</v>
      </c>
      <c r="D53" s="168">
        <f t="shared" ca="1" si="1"/>
        <v>2.0081007506478972E-3</v>
      </c>
      <c r="E53" s="168">
        <f t="shared" ca="1" si="17"/>
        <v>0.97670269973146751</v>
      </c>
      <c r="F53" s="168">
        <f t="shared" ca="1" si="18"/>
        <v>5.0378941285452567E-4</v>
      </c>
      <c r="G53" s="168">
        <f t="shared" ca="1" si="19"/>
        <v>0.25115960514391478</v>
      </c>
      <c r="H53" s="168">
        <f t="shared" si="20"/>
        <v>0</v>
      </c>
      <c r="I53" s="168">
        <f t="shared" si="21"/>
        <v>0</v>
      </c>
      <c r="J53" s="168">
        <f>IFERROR(IF(B53&lt;=Age+B,IF(AND(B53&gt;=Begin_Age,B53&lt;End_Age),GB_rate,0),""),"")</f>
        <v>0</v>
      </c>
      <c r="K53" s="168">
        <f t="shared" si="22"/>
        <v>1</v>
      </c>
      <c r="L53" s="168">
        <f t="shared" si="23"/>
        <v>0</v>
      </c>
      <c r="M53" s="168">
        <f>IFERROR(IF(B53&lt;=Age+B,J53*Face_Amt*(End_Age-B53-1),""),"")</f>
        <v>0</v>
      </c>
      <c r="N53" s="168">
        <f ca="1">IFERROR(IF(B53&lt;=Age+B,MAX(MIN(A53,PPP)*Gross_Premium,CV!Z54+L54)*K53,""),"")</f>
        <v>16957.453458155847</v>
      </c>
      <c r="O53" s="171" cm="1">
        <f t="array" ref="O53">IFERROR(IF(B53&lt;=Age+B,VLOOKUP(IF(PPP&lt;20,PPP,"20+"),Exp_load_Prem,_xlfn.IFS(A53=1,1,A53=2,2,A53=3,3,OR(A53=4,A53=5),4,AND(A53&gt;=6,A53&lt;=10),5,AND(A53&gt;=11,A53&lt;=PPP),6,A53&gt;PPP,7)+1,FALSE),""),"")</f>
        <v>0</v>
      </c>
      <c r="P53" s="168">
        <f t="shared" ca="1" si="24"/>
        <v>8.5429855211922803</v>
      </c>
      <c r="Q53" s="168">
        <f t="shared" ca="1" si="25"/>
        <v>0</v>
      </c>
      <c r="R53" s="168">
        <f t="shared" ca="1" si="26"/>
        <v>0</v>
      </c>
      <c r="S53" s="168">
        <f t="shared" ca="1" si="27"/>
        <v>0</v>
      </c>
      <c r="T53" s="168">
        <f t="shared" ca="1" si="28"/>
        <v>0</v>
      </c>
      <c r="U53" s="168">
        <f t="shared" ca="1" si="29"/>
        <v>0</v>
      </c>
    </row>
    <row r="54" spans="1:21" x14ac:dyDescent="0.4">
      <c r="A54" s="168">
        <f t="shared" si="16"/>
        <v>37</v>
      </c>
      <c r="B54" s="168">
        <f t="shared" si="30"/>
        <v>56</v>
      </c>
      <c r="C54" s="168">
        <f ca="1">IFERROR(MIN(VLOOKUP(B54,INDIRECT("mort_alb_"&amp;Cover!$J$4),IF(Sex="M",2,3))/1000,1)*Mort_Int,"")</f>
        <v>2.2591999999999998E-3</v>
      </c>
      <c r="D54" s="168">
        <f t="shared" ca="1" si="1"/>
        <v>2.2020300380174674E-3</v>
      </c>
      <c r="E54" s="168">
        <f t="shared" ca="1" si="17"/>
        <v>0.97469459898081956</v>
      </c>
      <c r="F54" s="168">
        <f t="shared" ca="1" si="18"/>
        <v>5.389679142163696E-4</v>
      </c>
      <c r="G54" s="168">
        <f t="shared" ca="1" si="19"/>
        <v>0.2445299717031599</v>
      </c>
      <c r="H54" s="168">
        <f t="shared" si="20"/>
        <v>0</v>
      </c>
      <c r="I54" s="168">
        <f t="shared" si="21"/>
        <v>0</v>
      </c>
      <c r="J54" s="168">
        <f>IFERROR(IF(B54&lt;=Age+B,IF(AND(B54&gt;=Begin_Age,B54&lt;End_Age),GB_rate,0),""),"")</f>
        <v>0</v>
      </c>
      <c r="K54" s="168">
        <f t="shared" si="22"/>
        <v>1</v>
      </c>
      <c r="L54" s="168">
        <f t="shared" si="23"/>
        <v>0</v>
      </c>
      <c r="M54" s="168">
        <f>IFERROR(IF(B54&lt;=Age+B,J54*Face_Amt*(End_Age-B54-1),""),"")</f>
        <v>0</v>
      </c>
      <c r="N54" s="168">
        <f ca="1">IFERROR(IF(B54&lt;=Age+B,MAX(MIN(A54,PPP)*Gross_Premium,CV!Z55+L55)*K54,""),"")</f>
        <v>17720.538863772857</v>
      </c>
      <c r="O54" s="171" cm="1">
        <f t="array" ref="O54">IFERROR(IF(B54&lt;=Age+B,VLOOKUP(IF(PPP&lt;20,PPP,"20+"),Exp_load_Prem,_xlfn.IFS(A54=1,1,A54=2,2,A54=3,3,OR(A54=4,A54=5),4,AND(A54&gt;=6,A54&lt;=10),5,AND(A54&gt;=11,A54&lt;=PPP),6,A54&gt;PPP,7)+1,FALSE),""),"")</f>
        <v>0</v>
      </c>
      <c r="P54" s="168">
        <f t="shared" ca="1" si="24"/>
        <v>9.5508018701977733</v>
      </c>
      <c r="Q54" s="168">
        <f t="shared" ca="1" si="25"/>
        <v>0</v>
      </c>
      <c r="R54" s="168">
        <f t="shared" ca="1" si="26"/>
        <v>0</v>
      </c>
      <c r="S54" s="168">
        <f t="shared" ca="1" si="27"/>
        <v>0</v>
      </c>
      <c r="T54" s="168">
        <f t="shared" ca="1" si="28"/>
        <v>0</v>
      </c>
      <c r="U54" s="168">
        <f t="shared" ca="1" si="29"/>
        <v>0</v>
      </c>
    </row>
    <row r="55" spans="1:21" x14ac:dyDescent="0.4">
      <c r="A55" s="168">
        <f t="shared" si="16"/>
        <v>38</v>
      </c>
      <c r="B55" s="168">
        <f t="shared" si="30"/>
        <v>57</v>
      </c>
      <c r="C55" s="168">
        <f ca="1">IFERROR(MIN(VLOOKUP(B55,INDIRECT("mort_alb_"&amp;Cover!$J$4),IF(Sex="M",2,3))/1000,1)*Mort_Int,"")</f>
        <v>2.4888000000000002E-3</v>
      </c>
      <c r="D55" s="168">
        <f t="shared" ca="1" si="1"/>
        <v>2.4203395055848462E-3</v>
      </c>
      <c r="E55" s="168">
        <f t="shared" ca="1" si="17"/>
        <v>0.97249256894280212</v>
      </c>
      <c r="F55" s="168">
        <f t="shared" ca="1" si="18"/>
        <v>5.779524336907082E-4</v>
      </c>
      <c r="G55" s="168">
        <f t="shared" ca="1" si="19"/>
        <v>0.23802685813764698</v>
      </c>
      <c r="H55" s="168">
        <f t="shared" si="20"/>
        <v>0</v>
      </c>
      <c r="I55" s="168">
        <f t="shared" si="21"/>
        <v>0</v>
      </c>
      <c r="J55" s="168">
        <f>IFERROR(IF(B55&lt;=Age+B,IF(AND(B55&gt;=Begin_Age,B55&lt;End_Age),GB_rate,0),""),"")</f>
        <v>0</v>
      </c>
      <c r="K55" s="168">
        <f t="shared" si="22"/>
        <v>1</v>
      </c>
      <c r="L55" s="168">
        <f t="shared" si="23"/>
        <v>0</v>
      </c>
      <c r="M55" s="168">
        <f>IFERROR(IF(B55&lt;=Age+B,J55*Face_Amt*(End_Age-B55-1),""),"")</f>
        <v>0</v>
      </c>
      <c r="N55" s="168">
        <f ca="1">IFERROR(IF(B55&lt;=Age+B,MAX(MIN(A55,PPP)*Gross_Premium,CV!Z56+L56)*K55,""),"")</f>
        <v>18517.963112642628</v>
      </c>
      <c r="O55" s="171" cm="1">
        <f t="array" ref="O55">IFERROR(IF(B55&lt;=Age+B,VLOOKUP(IF(PPP&lt;20,PPP,"20+"),Exp_load_Prem,_xlfn.IFS(A55=1,1,A55=2,2,A55=3,3,OR(A55=4,A55=5),4,AND(A55&gt;=6,A55&lt;=10),5,AND(A55&gt;=11,A55&lt;=PPP),6,A55&gt;PPP,7)+1,FALSE),""),"")</f>
        <v>0</v>
      </c>
      <c r="P55" s="168">
        <f t="shared" ca="1" si="24"/>
        <v>10.70250184794657</v>
      </c>
      <c r="Q55" s="168">
        <f t="shared" ca="1" si="25"/>
        <v>0</v>
      </c>
      <c r="R55" s="168">
        <f t="shared" ca="1" si="26"/>
        <v>0</v>
      </c>
      <c r="S55" s="168">
        <f t="shared" ca="1" si="27"/>
        <v>0</v>
      </c>
      <c r="T55" s="168">
        <f t="shared" ca="1" si="28"/>
        <v>0</v>
      </c>
      <c r="U55" s="168">
        <f t="shared" ca="1" si="29"/>
        <v>0</v>
      </c>
    </row>
    <row r="56" spans="1:21" x14ac:dyDescent="0.4">
      <c r="A56" s="168">
        <f t="shared" si="16"/>
        <v>39</v>
      </c>
      <c r="B56" s="168">
        <f t="shared" si="30"/>
        <v>58</v>
      </c>
      <c r="C56" s="168">
        <f ca="1">IFERROR(MIN(VLOOKUP(B56,INDIRECT("mort_alb_"&amp;Cover!$J$4),IF(Sex="M",2,3))/1000,1)*Mort_Int,"")</f>
        <v>2.7472E-3</v>
      </c>
      <c r="D56" s="168">
        <f t="shared" ca="1" si="1"/>
        <v>2.6649824287099232E-3</v>
      </c>
      <c r="E56" s="168">
        <f t="shared" ca="1" si="17"/>
        <v>0.97007222943721727</v>
      </c>
      <c r="F56" s="168">
        <f t="shared" ca="1" si="18"/>
        <v>6.2084943721762076E-4</v>
      </c>
      <c r="G56" s="168">
        <f t="shared" ca="1" si="19"/>
        <v>0.23164337257864781</v>
      </c>
      <c r="H56" s="168">
        <f t="shared" si="20"/>
        <v>0</v>
      </c>
      <c r="I56" s="168">
        <f t="shared" si="21"/>
        <v>0</v>
      </c>
      <c r="J56" s="168">
        <f>IFERROR(IF(B56&lt;=Age+B,IF(AND(B56&gt;=Begin_Age,B56&lt;End_Age),GB_rate,0),""),"")</f>
        <v>0</v>
      </c>
      <c r="K56" s="168">
        <f t="shared" si="22"/>
        <v>1</v>
      </c>
      <c r="L56" s="168">
        <f t="shared" si="23"/>
        <v>0</v>
      </c>
      <c r="M56" s="168">
        <f>IFERROR(IF(B56&lt;=Age+B,J56*Face_Amt*(End_Age-B56-1),""),"")</f>
        <v>0</v>
      </c>
      <c r="N56" s="168">
        <f ca="1">IFERROR(IF(B56&lt;=Age+B,MAX(MIN(A56,PPP)*Gross_Premium,CV!Z57+L57)*K56,""),"")</f>
        <v>19351.271452711546</v>
      </c>
      <c r="O56" s="171" cm="1">
        <f t="array" ref="O56">IFERROR(IF(B56&lt;=Age+B,VLOOKUP(IF(PPP&lt;20,PPP,"20+"),Exp_load_Prem,_xlfn.IFS(A56=1,1,A56=2,2,A56=3,3,OR(A56=4,A56=5),4,AND(A56&gt;=6,A56&lt;=10),5,AND(A56&gt;=11,A56&lt;=PPP),6,A56&gt;PPP,7)+1,FALSE),""),"")</f>
        <v>0</v>
      </c>
      <c r="P56" s="168">
        <f t="shared" ca="1" si="24"/>
        <v>12.014225990861373</v>
      </c>
      <c r="Q56" s="168">
        <f t="shared" ca="1" si="25"/>
        <v>0</v>
      </c>
      <c r="R56" s="168">
        <f t="shared" ca="1" si="26"/>
        <v>0</v>
      </c>
      <c r="S56" s="168">
        <f t="shared" ca="1" si="27"/>
        <v>0</v>
      </c>
      <c r="T56" s="168">
        <f t="shared" ca="1" si="28"/>
        <v>0</v>
      </c>
      <c r="U56" s="168">
        <f t="shared" ca="1" si="29"/>
        <v>0</v>
      </c>
    </row>
    <row r="57" spans="1:21" x14ac:dyDescent="0.4">
      <c r="A57" s="168">
        <f t="shared" si="16"/>
        <v>40</v>
      </c>
      <c r="B57" s="168">
        <f t="shared" si="30"/>
        <v>59</v>
      </c>
      <c r="C57" s="168">
        <f ca="1">IFERROR(MIN(VLOOKUP(B57,INDIRECT("mort_alb_"&amp;Cover!$J$4),IF(Sex="M",2,3))/1000,1)*Mort_Int,"")</f>
        <v>3.0352000000000001E-3</v>
      </c>
      <c r="D57" s="168">
        <f t="shared" ca="1" si="1"/>
        <v>2.9362744761202214E-3</v>
      </c>
      <c r="E57" s="168">
        <f t="shared" ca="1" si="17"/>
        <v>0.96740724700850733</v>
      </c>
      <c r="F57" s="168">
        <f t="shared" ca="1" si="18"/>
        <v>6.6736699791416815E-4</v>
      </c>
      <c r="G57" s="168">
        <f t="shared" ca="1" si="19"/>
        <v>0.22537268478585343</v>
      </c>
      <c r="H57" s="168">
        <f t="shared" si="20"/>
        <v>0</v>
      </c>
      <c r="I57" s="168">
        <f t="shared" si="21"/>
        <v>0</v>
      </c>
      <c r="J57" s="168">
        <f>IFERROR(IF(B57&lt;=Age+B,IF(AND(B57&gt;=Begin_Age,B57&lt;End_Age),GB_rate,0),""),"")</f>
        <v>0</v>
      </c>
      <c r="K57" s="168">
        <f t="shared" si="22"/>
        <v>1</v>
      </c>
      <c r="L57" s="168">
        <f t="shared" si="23"/>
        <v>0</v>
      </c>
      <c r="M57" s="168">
        <f>IFERROR(IF(B57&lt;=Age+B,J57*Face_Amt*(End_Age-B57-1),""),"")</f>
        <v>0</v>
      </c>
      <c r="N57" s="168">
        <f ca="1">IFERROR(IF(B57&lt;=Age+B,MAX(MIN(A57,PPP)*Gross_Premium,CV!Z58+L58)*K57,""),"")</f>
        <v>20222.078668083563</v>
      </c>
      <c r="O57" s="171" cm="1">
        <f t="array" ref="O57">IFERROR(IF(B57&lt;=Age+B,VLOOKUP(IF(PPP&lt;20,PPP,"20+"),Exp_load_Prem,_xlfn.IFS(A57=1,1,A57=2,2,A57=3,3,OR(A57=4,A57=5),4,AND(A57&gt;=6,A57&lt;=10),5,AND(A57&gt;=11,A57&lt;=PPP),6,A57&gt;PPP,7)+1,FALSE),""),"")</f>
        <v>0</v>
      </c>
      <c r="P57" s="168">
        <f t="shared" ca="1" si="24"/>
        <v>13.495547932303067</v>
      </c>
      <c r="Q57" s="168">
        <f t="shared" ca="1" si="25"/>
        <v>0</v>
      </c>
      <c r="R57" s="168">
        <f t="shared" ca="1" si="26"/>
        <v>0</v>
      </c>
      <c r="S57" s="168">
        <f t="shared" ca="1" si="27"/>
        <v>0</v>
      </c>
      <c r="T57" s="168">
        <f t="shared" ca="1" si="28"/>
        <v>0</v>
      </c>
      <c r="U57" s="168">
        <f t="shared" ca="1" si="29"/>
        <v>0</v>
      </c>
    </row>
    <row r="58" spans="1:21" x14ac:dyDescent="0.4">
      <c r="A58" s="168">
        <f t="shared" si="16"/>
        <v>41</v>
      </c>
      <c r="B58" s="168">
        <f t="shared" si="30"/>
        <v>60</v>
      </c>
      <c r="C58" s="168">
        <f ca="1">IFERROR(MIN(VLOOKUP(B58,INDIRECT("mort_alb_"&amp;Cover!$J$4),IF(Sex="M",2,3))/1000,1)*Mort_Int,"")</f>
        <v>3.3552E-3</v>
      </c>
      <c r="D58" s="168">
        <f t="shared" ca="1" si="1"/>
        <v>3.2359930070406653E-3</v>
      </c>
      <c r="E58" s="168">
        <f t="shared" ca="1" si="17"/>
        <v>0.96447097253238712</v>
      </c>
      <c r="F58" s="168">
        <f t="shared" ca="1" si="18"/>
        <v>7.1754936680386316E-4</v>
      </c>
      <c r="G58" s="168">
        <f t="shared" ca="1" si="19"/>
        <v>0.21920842303706481</v>
      </c>
      <c r="H58" s="168">
        <f t="shared" si="20"/>
        <v>0</v>
      </c>
      <c r="I58" s="168">
        <f t="shared" si="21"/>
        <v>1.19</v>
      </c>
      <c r="J58" s="168">
        <f>IFERROR(IF(B58&lt;=Age+B,IF(AND(B58&gt;=Begin_Age,B58&lt;End_Age),GB_rate,0),""),"")</f>
        <v>1.19</v>
      </c>
      <c r="K58" s="168">
        <f t="shared" si="22"/>
        <v>0</v>
      </c>
      <c r="L58" s="168">
        <f t="shared" si="23"/>
        <v>1190</v>
      </c>
      <c r="M58" s="168">
        <f>IFERROR(IF(B58&lt;=Age+B,J58*Face_Amt*(End_Age-B58-1),""),"")</f>
        <v>22610</v>
      </c>
      <c r="N58" s="168">
        <f ca="1">IFERROR(IF(B58&lt;=Age+B,MAX(MIN(A58,PPP)*Gross_Premium,CV!Z59+L59)*K58,""),"")</f>
        <v>0</v>
      </c>
      <c r="O58" s="171" cm="1">
        <f t="array" ref="O58">IFERROR(IF(B58&lt;=Age+B,VLOOKUP(IF(PPP&lt;20,PPP,"20+"),Exp_load_Prem,_xlfn.IFS(A58=1,1,A58=2,2,A58=3,3,OR(A58=4,A58=5),4,AND(A58&gt;=6,A58&lt;=10),5,AND(A58&gt;=11,A58&lt;=PPP),6,A58&gt;PPP,7)+1,FALSE),""),"")</f>
        <v>0</v>
      </c>
      <c r="P58" s="168">
        <f t="shared" ca="1" si="24"/>
        <v>16.223791183435345</v>
      </c>
      <c r="Q58" s="168">
        <f t="shared" ca="1" si="25"/>
        <v>260.85802341410709</v>
      </c>
      <c r="R58" s="168">
        <f t="shared" ca="1" si="26"/>
        <v>0</v>
      </c>
      <c r="S58" s="168">
        <f t="shared" ca="1" si="27"/>
        <v>0</v>
      </c>
      <c r="T58" s="168">
        <f t="shared" ca="1" si="28"/>
        <v>0</v>
      </c>
      <c r="U58" s="168">
        <f t="shared" ca="1" si="29"/>
        <v>0</v>
      </c>
    </row>
    <row r="59" spans="1:21" x14ac:dyDescent="0.4">
      <c r="A59" s="168">
        <f t="shared" si="16"/>
        <v>42</v>
      </c>
      <c r="B59" s="168">
        <f t="shared" si="30"/>
        <v>61</v>
      </c>
      <c r="C59" s="168">
        <f ca="1">IFERROR(MIN(VLOOKUP(B59,INDIRECT("mort_alb_"&amp;Cover!$J$4),IF(Sex="M",2,3))/1000,1)*Mort_Int,"")</f>
        <v>3.7079999999999995E-3</v>
      </c>
      <c r="D59" s="168">
        <f t="shared" ca="1" si="1"/>
        <v>3.564259304079984E-3</v>
      </c>
      <c r="E59" s="168">
        <f t="shared" ca="1" si="17"/>
        <v>0.96123497952534642</v>
      </c>
      <c r="F59" s="168">
        <f t="shared" ca="1" si="18"/>
        <v>7.7106259868461619E-4</v>
      </c>
      <c r="G59" s="168">
        <f t="shared" ca="1" si="19"/>
        <v>0.21314432676691789</v>
      </c>
      <c r="H59" s="168">
        <f t="shared" si="20"/>
        <v>0</v>
      </c>
      <c r="I59" s="168">
        <f t="shared" si="21"/>
        <v>1.19</v>
      </c>
      <c r="J59" s="168">
        <f>IFERROR(IF(B59&lt;=Age+B,IF(AND(B59&gt;=Begin_Age,B59&lt;End_Age),GB_rate,0),""),"")</f>
        <v>1.19</v>
      </c>
      <c r="K59" s="168">
        <f t="shared" si="22"/>
        <v>0</v>
      </c>
      <c r="L59" s="168">
        <f t="shared" si="23"/>
        <v>1190</v>
      </c>
      <c r="M59" s="168">
        <f>IFERROR(IF(B59&lt;=Age+B,J59*Face_Amt*(End_Age-B59-1),""),"")</f>
        <v>21420</v>
      </c>
      <c r="N59" s="168">
        <f ca="1">IFERROR(IF(B59&lt;=Age+B,MAX(MIN(A59,PPP)*Gross_Premium,CV!Z60+L60)*K59,""),"")</f>
        <v>0</v>
      </c>
      <c r="O59" s="171" cm="1">
        <f t="array" ref="O59">IFERROR(IF(B59&lt;=Age+B,VLOOKUP(IF(PPP&lt;20,PPP,"20+"),Exp_load_Prem,_xlfn.IFS(A59=1,1,A59=2,2,A59=3,3,OR(A59=4,A59=5),4,AND(A59&gt;=6,A59&lt;=10),5,AND(A59&gt;=11,A59&lt;=PPP),6,A59&gt;PPP,7)+1,FALSE),""),"")</f>
        <v>0</v>
      </c>
      <c r="P59" s="168">
        <f t="shared" ca="1" si="24"/>
        <v>16.516160863824478</v>
      </c>
      <c r="Q59" s="168">
        <f t="shared" ca="1" si="25"/>
        <v>253.64174885263228</v>
      </c>
      <c r="R59" s="168">
        <f t="shared" ca="1" si="26"/>
        <v>0</v>
      </c>
      <c r="S59" s="168">
        <f t="shared" ca="1" si="27"/>
        <v>0</v>
      </c>
      <c r="T59" s="168">
        <f t="shared" ca="1" si="28"/>
        <v>0</v>
      </c>
      <c r="U59" s="168">
        <f t="shared" ca="1" si="29"/>
        <v>0</v>
      </c>
    </row>
    <row r="60" spans="1:21" x14ac:dyDescent="0.4">
      <c r="A60" s="168">
        <f t="shared" si="16"/>
        <v>43</v>
      </c>
      <c r="B60" s="168">
        <f t="shared" si="30"/>
        <v>62</v>
      </c>
      <c r="C60" s="168">
        <f ca="1">IFERROR(MIN(VLOOKUP(B60,INDIRECT("mort_alb_"&amp;Cover!$J$4),IF(Sex="M",2,3))/1000,1)*Mort_Int,"")</f>
        <v>4.0927999999999997E-3</v>
      </c>
      <c r="D60" s="168">
        <f t="shared" ca="1" si="1"/>
        <v>3.9195547237215987E-3</v>
      </c>
      <c r="E60" s="168">
        <f t="shared" ca="1" si="17"/>
        <v>0.95767072022126642</v>
      </c>
      <c r="F60" s="168">
        <f t="shared" ca="1" si="18"/>
        <v>8.2724321281394167E-4</v>
      </c>
      <c r="G60" s="168">
        <f t="shared" ca="1" si="19"/>
        <v>0.20717462205196702</v>
      </c>
      <c r="H60" s="168">
        <f t="shared" si="20"/>
        <v>0</v>
      </c>
      <c r="I60" s="168">
        <f t="shared" si="21"/>
        <v>1.19</v>
      </c>
      <c r="J60" s="168">
        <f>IFERROR(IF(B60&lt;=Age+B,IF(AND(B60&gt;=Begin_Age,B60&lt;End_Age),GB_rate,0),""),"")</f>
        <v>1.19</v>
      </c>
      <c r="K60" s="168">
        <f t="shared" si="22"/>
        <v>0</v>
      </c>
      <c r="L60" s="168">
        <f t="shared" si="23"/>
        <v>1190</v>
      </c>
      <c r="M60" s="168">
        <f>IFERROR(IF(B60&lt;=Age+B,J60*Face_Amt*(End_Age-B60-1),""),"")</f>
        <v>20230</v>
      </c>
      <c r="N60" s="168">
        <f ca="1">IFERROR(IF(B60&lt;=Age+B,MAX(MIN(A60,PPP)*Gross_Premium,CV!Z61+L61)*K60,""),"")</f>
        <v>0</v>
      </c>
      <c r="O60" s="171" cm="1">
        <f t="array" ref="O60">IFERROR(IF(B60&lt;=Age+B,VLOOKUP(IF(PPP&lt;20,PPP,"20+"),Exp_load_Prem,_xlfn.IFS(A60=1,1,A60=2,2,A60=3,3,OR(A60=4,A60=5),4,AND(A60&gt;=6,A60&lt;=10),5,AND(A60&gt;=11,A60&lt;=PPP),6,A60&gt;PPP,7)+1,FALSE),""),"")</f>
        <v>0</v>
      </c>
      <c r="P60" s="168">
        <f t="shared" ca="1" si="24"/>
        <v>16.735130195226041</v>
      </c>
      <c r="Q60" s="168">
        <f t="shared" ca="1" si="25"/>
        <v>246.53780024184076</v>
      </c>
      <c r="R60" s="168">
        <f t="shared" ca="1" si="26"/>
        <v>0</v>
      </c>
      <c r="S60" s="168">
        <f t="shared" ca="1" si="27"/>
        <v>0</v>
      </c>
      <c r="T60" s="168">
        <f t="shared" ca="1" si="28"/>
        <v>0</v>
      </c>
      <c r="U60" s="168">
        <f t="shared" ca="1" si="29"/>
        <v>0</v>
      </c>
    </row>
    <row r="61" spans="1:21" x14ac:dyDescent="0.4">
      <c r="A61" s="168">
        <f t="shared" si="16"/>
        <v>44</v>
      </c>
      <c r="B61" s="168">
        <f t="shared" si="30"/>
        <v>63</v>
      </c>
      <c r="C61" s="168">
        <f ca="1">IFERROR(MIN(VLOOKUP(B61,INDIRECT("mort_alb_"&amp;Cover!$J$4),IF(Sex="M",2,3))/1000,1)*Mort_Int,"")</f>
        <v>4.5063999999999998E-3</v>
      </c>
      <c r="D61" s="168">
        <f t="shared" ca="1" si="1"/>
        <v>4.297984252198136E-3</v>
      </c>
      <c r="E61" s="168">
        <f t="shared" ca="1" si="17"/>
        <v>0.9537511654975448</v>
      </c>
      <c r="F61" s="168">
        <f t="shared" ca="1" si="18"/>
        <v>8.8498810782191911E-4</v>
      </c>
      <c r="G61" s="168">
        <f t="shared" ca="1" si="19"/>
        <v>0.2012943392769099</v>
      </c>
      <c r="H61" s="168">
        <f t="shared" si="20"/>
        <v>0</v>
      </c>
      <c r="I61" s="168">
        <f t="shared" si="21"/>
        <v>1.19</v>
      </c>
      <c r="J61" s="168">
        <f>IFERROR(IF(B61&lt;=Age+B,IF(AND(B61&gt;=Begin_Age,B61&lt;End_Age),GB_rate,0),""),"")</f>
        <v>1.19</v>
      </c>
      <c r="K61" s="168">
        <f t="shared" si="22"/>
        <v>0</v>
      </c>
      <c r="L61" s="168">
        <f t="shared" si="23"/>
        <v>1190</v>
      </c>
      <c r="M61" s="168">
        <f>IFERROR(IF(B61&lt;=Age+B,J61*Face_Amt*(End_Age-B61-1),""),"")</f>
        <v>19040</v>
      </c>
      <c r="N61" s="168">
        <f ca="1">IFERROR(IF(B61&lt;=Age+B,MAX(MIN(A61,PPP)*Gross_Premium,CV!Z62+L62)*K61,""),"")</f>
        <v>0</v>
      </c>
      <c r="O61" s="171" cm="1">
        <f t="array" ref="O61">IFERROR(IF(B61&lt;=Age+B,VLOOKUP(IF(PPP&lt;20,PPP,"20+"),Exp_load_Prem,_xlfn.IFS(A61=1,1,A61=2,2,A61=3,3,OR(A61=4,A61=5),4,AND(A61&gt;=6,A61&lt;=10),5,AND(A61&gt;=11,A61&lt;=PPP),6,A61&gt;PPP,7)+1,FALSE),""),"")</f>
        <v>0</v>
      </c>
      <c r="P61" s="168">
        <f t="shared" ca="1" si="24"/>
        <v>16.850173572929339</v>
      </c>
      <c r="Q61" s="168">
        <f t="shared" ca="1" si="25"/>
        <v>239.54026373952277</v>
      </c>
      <c r="R61" s="168">
        <f t="shared" ca="1" si="26"/>
        <v>0</v>
      </c>
      <c r="S61" s="168">
        <f t="shared" ca="1" si="27"/>
        <v>0</v>
      </c>
      <c r="T61" s="168">
        <f t="shared" ca="1" si="28"/>
        <v>0</v>
      </c>
      <c r="U61" s="168">
        <f t="shared" ca="1" si="29"/>
        <v>0</v>
      </c>
    </row>
    <row r="62" spans="1:21" x14ac:dyDescent="0.4">
      <c r="A62" s="168">
        <f t="shared" si="16"/>
        <v>45</v>
      </c>
      <c r="B62" s="168">
        <f t="shared" si="30"/>
        <v>64</v>
      </c>
      <c r="C62" s="168">
        <f ca="1">IFERROR(MIN(VLOOKUP(B62,INDIRECT("mort_alb_"&amp;Cover!$J$4),IF(Sex="M",2,3))/1000,1)*Mort_Int,"")</f>
        <v>4.9440000000000005E-3</v>
      </c>
      <c r="D62" s="168">
        <f t="shared" ca="1" si="1"/>
        <v>4.6940965280769945E-3</v>
      </c>
      <c r="E62" s="168">
        <f t="shared" ca="1" si="17"/>
        <v>0.94945318124534661</v>
      </c>
      <c r="F62" s="168">
        <f t="shared" ca="1" si="18"/>
        <v>9.4297627378926328E-4</v>
      </c>
      <c r="G62" s="168">
        <f t="shared" ca="1" si="19"/>
        <v>0.19549973313794389</v>
      </c>
      <c r="H62" s="168">
        <f t="shared" si="20"/>
        <v>0</v>
      </c>
      <c r="I62" s="168">
        <f t="shared" si="21"/>
        <v>1.19</v>
      </c>
      <c r="J62" s="168">
        <f>IFERROR(IF(B62&lt;=Age+B,IF(AND(B62&gt;=Begin_Age,B62&lt;End_Age),GB_rate,0),""),"")</f>
        <v>1.19</v>
      </c>
      <c r="K62" s="168">
        <f t="shared" si="22"/>
        <v>0</v>
      </c>
      <c r="L62" s="168">
        <f t="shared" si="23"/>
        <v>1190</v>
      </c>
      <c r="M62" s="168">
        <f>IFERROR(IF(B62&lt;=Age+B,J62*Face_Amt*(End_Age-B62-1),""),"")</f>
        <v>17850</v>
      </c>
      <c r="N62" s="168">
        <f ca="1">IFERROR(IF(B62&lt;=Age+B,MAX(MIN(A62,PPP)*Gross_Premium,CV!Z63+L63)*K62,""),"")</f>
        <v>0</v>
      </c>
      <c r="O62" s="171" cm="1">
        <f t="array" ref="O62">IFERROR(IF(B62&lt;=Age+B,VLOOKUP(IF(PPP&lt;20,PPP,"20+"),Exp_load_Prem,_xlfn.IFS(A62=1,1,A62=2,2,A62=3,3,OR(A62=4,A62=5),4,AND(A62&gt;=6,A62&lt;=10),5,AND(A62&gt;=11,A62&lt;=PPP),6,A62&gt;PPP,7)+1,FALSE),""),"")</f>
        <v>0</v>
      </c>
      <c r="P62" s="168">
        <f t="shared" ca="1" si="24"/>
        <v>16.83212648713835</v>
      </c>
      <c r="Q62" s="168">
        <f t="shared" ca="1" si="25"/>
        <v>232.64468243415322</v>
      </c>
      <c r="R62" s="168">
        <f t="shared" ca="1" si="26"/>
        <v>0</v>
      </c>
      <c r="S62" s="168">
        <f t="shared" ca="1" si="27"/>
        <v>0</v>
      </c>
      <c r="T62" s="168">
        <f t="shared" ca="1" si="28"/>
        <v>0</v>
      </c>
      <c r="U62" s="168">
        <f t="shared" ca="1" si="29"/>
        <v>0</v>
      </c>
    </row>
    <row r="63" spans="1:21" x14ac:dyDescent="0.4">
      <c r="A63" s="168">
        <f t="shared" si="16"/>
        <v>46</v>
      </c>
      <c r="B63" s="168">
        <f t="shared" si="30"/>
        <v>65</v>
      </c>
      <c r="C63" s="168">
        <f ca="1">IFERROR(MIN(VLOOKUP(B63,INDIRECT("mort_alb_"&amp;Cover!$J$4),IF(Sex="M",2,3))/1000,1)*Mort_Int,"")</f>
        <v>5.4016000000000003E-3</v>
      </c>
      <c r="D63" s="168">
        <f t="shared" ca="1" si="1"/>
        <v>5.103210672008804E-3</v>
      </c>
      <c r="E63" s="168">
        <f t="shared" ca="1" si="17"/>
        <v>0.94475908471726966</v>
      </c>
      <c r="F63" s="168">
        <f t="shared" ca="1" si="18"/>
        <v>1.0001574666140681E-3</v>
      </c>
      <c r="G63" s="168">
        <f t="shared" ca="1" si="19"/>
        <v>0.18978847069005847</v>
      </c>
      <c r="H63" s="168">
        <f t="shared" si="20"/>
        <v>0</v>
      </c>
      <c r="I63" s="168">
        <f t="shared" si="21"/>
        <v>1.19</v>
      </c>
      <c r="J63" s="168">
        <f>IFERROR(IF(B63&lt;=Age+B,IF(AND(B63&gt;=Begin_Age,B63&lt;End_Age),GB_rate,0),""),"")</f>
        <v>1.19</v>
      </c>
      <c r="K63" s="168">
        <f t="shared" si="22"/>
        <v>0</v>
      </c>
      <c r="L63" s="168">
        <f t="shared" si="23"/>
        <v>1190</v>
      </c>
      <c r="M63" s="168">
        <f>IFERROR(IF(B63&lt;=Age+B,J63*Face_Amt*(End_Age-B63-1),""),"")</f>
        <v>16660</v>
      </c>
      <c r="N63" s="168">
        <f ca="1">IFERROR(IF(B63&lt;=Age+B,MAX(MIN(A63,PPP)*Gross_Premium,CV!Z64+L64)*K63,""),"")</f>
        <v>0</v>
      </c>
      <c r="O63" s="171" cm="1">
        <f t="array" ref="O63">IFERROR(IF(B63&lt;=Age+B,VLOOKUP(IF(PPP&lt;20,PPP,"20+"),Exp_load_Prem,_xlfn.IFS(A63=1,1,A63=2,2,A63=3,3,OR(A63=4,A63=5),4,AND(A63&gt;=6,A63&lt;=10),5,AND(A63&gt;=11,A63&lt;=PPP),6,A63&gt;PPP,7)+1,FALSE),""),"")</f>
        <v>0</v>
      </c>
      <c r="P63" s="168">
        <f t="shared" ca="1" si="24"/>
        <v>16.662623393790376</v>
      </c>
      <c r="Q63" s="168">
        <f t="shared" ca="1" si="25"/>
        <v>225.84828012116958</v>
      </c>
      <c r="R63" s="168">
        <f t="shared" ca="1" si="26"/>
        <v>0</v>
      </c>
      <c r="S63" s="168">
        <f t="shared" ca="1" si="27"/>
        <v>0</v>
      </c>
      <c r="T63" s="168">
        <f t="shared" ca="1" si="28"/>
        <v>0</v>
      </c>
      <c r="U63" s="168">
        <f t="shared" ca="1" si="29"/>
        <v>0</v>
      </c>
    </row>
    <row r="64" spans="1:21" x14ac:dyDescent="0.4">
      <c r="A64" s="168">
        <f t="shared" si="16"/>
        <v>47</v>
      </c>
      <c r="B64" s="168">
        <f t="shared" si="30"/>
        <v>66</v>
      </c>
      <c r="C64" s="168">
        <f ca="1">IFERROR(MIN(VLOOKUP(B64,INDIRECT("mort_alb_"&amp;Cover!$J$4),IF(Sex="M",2,3))/1000,1)*Mort_Int,"")</f>
        <v>5.8760000000000001E-3</v>
      </c>
      <c r="D64" s="168">
        <f t="shared" ca="1" si="1"/>
        <v>5.5214179158899531E-3</v>
      </c>
      <c r="E64" s="168">
        <f t="shared" ca="1" si="17"/>
        <v>0.93965587404526085</v>
      </c>
      <c r="F64" s="168">
        <f t="shared" ca="1" si="18"/>
        <v>1.0557270247415716E-3</v>
      </c>
      <c r="G64" s="168">
        <f t="shared" ca="1" si="19"/>
        <v>0.18415932613344296</v>
      </c>
      <c r="H64" s="168">
        <f t="shared" si="20"/>
        <v>0</v>
      </c>
      <c r="I64" s="168">
        <f t="shared" si="21"/>
        <v>1.19</v>
      </c>
      <c r="J64" s="168">
        <f>IFERROR(IF(B64&lt;=Age+B,IF(AND(B64&gt;=Begin_Age,B64&lt;End_Age),GB_rate,0),""),"")</f>
        <v>1.19</v>
      </c>
      <c r="K64" s="168">
        <f t="shared" si="22"/>
        <v>0</v>
      </c>
      <c r="L64" s="168">
        <f t="shared" si="23"/>
        <v>1190</v>
      </c>
      <c r="M64" s="168">
        <f>IFERROR(IF(B64&lt;=Age+B,J64*Face_Amt*(End_Age-B64-1),""),"")</f>
        <v>15470</v>
      </c>
      <c r="N64" s="168">
        <f ca="1">IFERROR(IF(B64&lt;=Age+B,MAX(MIN(A64,PPP)*Gross_Premium,CV!Z65+L65)*K64,""),"")</f>
        <v>0</v>
      </c>
      <c r="O64" s="171" cm="1">
        <f t="array" ref="O64">IFERROR(IF(B64&lt;=Age+B,VLOOKUP(IF(PPP&lt;20,PPP,"20+"),Exp_load_Prem,_xlfn.IFS(A64=1,1,A64=2,2,A64=3,3,OR(A64=4,A64=5),4,AND(A64&gt;=6,A64&lt;=10),5,AND(A64&gt;=11,A64&lt;=PPP),6,A64&gt;PPP,7)+1,FALSE),""),"")</f>
        <v>0</v>
      </c>
      <c r="P64" s="168">
        <f t="shared" ca="1" si="24"/>
        <v>16.332097072752113</v>
      </c>
      <c r="Q64" s="168">
        <f t="shared" ca="1" si="25"/>
        <v>219.14959809879713</v>
      </c>
      <c r="R64" s="168">
        <f t="shared" ca="1" si="26"/>
        <v>0</v>
      </c>
      <c r="S64" s="168">
        <f t="shared" ca="1" si="27"/>
        <v>0</v>
      </c>
      <c r="T64" s="168">
        <f t="shared" ca="1" si="28"/>
        <v>0</v>
      </c>
      <c r="U64" s="168">
        <f t="shared" ca="1" si="29"/>
        <v>0</v>
      </c>
    </row>
    <row r="65" spans="1:21" x14ac:dyDescent="0.4">
      <c r="A65" s="168">
        <f t="shared" si="16"/>
        <v>48</v>
      </c>
      <c r="B65" s="168">
        <f t="shared" si="30"/>
        <v>67</v>
      </c>
      <c r="C65" s="168">
        <f ca="1">IFERROR(MIN(VLOOKUP(B65,INDIRECT("mort_alb_"&amp;Cover!$J$4),IF(Sex="M",2,3))/1000,1)*Mort_Int,"")</f>
        <v>6.3671999999999999E-3</v>
      </c>
      <c r="D65" s="168">
        <f t="shared" ca="1" si="1"/>
        <v>5.9478209090669297E-3</v>
      </c>
      <c r="E65" s="168">
        <f t="shared" ca="1" si="17"/>
        <v>0.93413445612937085</v>
      </c>
      <c r="F65" s="168">
        <f t="shared" ca="1" si="18"/>
        <v>1.1095197483565735E-3</v>
      </c>
      <c r="G65" s="168">
        <f t="shared" ca="1" si="19"/>
        <v>0.17861190822739789</v>
      </c>
      <c r="H65" s="168">
        <f t="shared" si="20"/>
        <v>0</v>
      </c>
      <c r="I65" s="168">
        <f t="shared" si="21"/>
        <v>1.19</v>
      </c>
      <c r="J65" s="168">
        <f>IFERROR(IF(B65&lt;=Age+B,IF(AND(B65&gt;=Begin_Age,B65&lt;End_Age),GB_rate,0),""),"")</f>
        <v>1.19</v>
      </c>
      <c r="K65" s="168">
        <f t="shared" si="22"/>
        <v>0</v>
      </c>
      <c r="L65" s="168">
        <f t="shared" si="23"/>
        <v>1190</v>
      </c>
      <c r="M65" s="168">
        <f>IFERROR(IF(B65&lt;=Age+B,J65*Face_Amt*(End_Age-B65-1),""),"")</f>
        <v>14280</v>
      </c>
      <c r="N65" s="168">
        <f ca="1">IFERROR(IF(B65&lt;=Age+B,MAX(MIN(A65,PPP)*Gross_Premium,CV!Z66+L66)*K65,""),"")</f>
        <v>0</v>
      </c>
      <c r="O65" s="171" cm="1">
        <f t="array" ref="O65">IFERROR(IF(B65&lt;=Age+B,VLOOKUP(IF(PPP&lt;20,PPP,"20+"),Exp_load_Prem,_xlfn.IFS(A65=1,1,A65=2,2,A65=3,3,OR(A65=4,A65=5),4,AND(A65&gt;=6,A65&lt;=10),5,AND(A65&gt;=11,A65&lt;=PPP),6,A65&gt;PPP,7)+1,FALSE),""),"")</f>
        <v>0</v>
      </c>
      <c r="P65" s="168">
        <f t="shared" ca="1" si="24"/>
        <v>15.84394200653187</v>
      </c>
      <c r="Q65" s="168">
        <f t="shared" ca="1" si="25"/>
        <v>212.54817079060348</v>
      </c>
      <c r="R65" s="168">
        <f t="shared" ca="1" si="26"/>
        <v>0</v>
      </c>
      <c r="S65" s="168">
        <f t="shared" ca="1" si="27"/>
        <v>0</v>
      </c>
      <c r="T65" s="168">
        <f t="shared" ca="1" si="28"/>
        <v>0</v>
      </c>
      <c r="U65" s="168">
        <f t="shared" ca="1" si="29"/>
        <v>0</v>
      </c>
    </row>
    <row r="66" spans="1:21" x14ac:dyDescent="0.4">
      <c r="A66" s="168">
        <f t="shared" si="16"/>
        <v>49</v>
      </c>
      <c r="B66" s="168">
        <f t="shared" si="30"/>
        <v>68</v>
      </c>
      <c r="C66" s="168">
        <f ca="1">IFERROR(MIN(VLOOKUP(B66,INDIRECT("mort_alb_"&amp;Cover!$J$4),IF(Sex="M",2,3))/1000,1)*Mort_Int,"")</f>
        <v>6.8816000000000007E-3</v>
      </c>
      <c r="D66" s="168">
        <f t="shared" ca="1" si="1"/>
        <v>6.3874091489320439E-3</v>
      </c>
      <c r="E66" s="168">
        <f t="shared" ca="1" si="17"/>
        <v>0.92818663522030387</v>
      </c>
      <c r="F66" s="168">
        <f t="shared" ca="1" si="18"/>
        <v>1.1624600164472233E-3</v>
      </c>
      <c r="G66" s="168">
        <f t="shared" ca="1" si="19"/>
        <v>0.17314600047349504</v>
      </c>
      <c r="H66" s="168">
        <f t="shared" si="20"/>
        <v>0</v>
      </c>
      <c r="I66" s="168">
        <f t="shared" si="21"/>
        <v>1.19</v>
      </c>
      <c r="J66" s="168">
        <f>IFERROR(IF(B66&lt;=Age+B,IF(AND(B66&gt;=Begin_Age,B66&lt;End_Age),GB_rate,0),""),"")</f>
        <v>1.19</v>
      </c>
      <c r="K66" s="168">
        <f t="shared" si="22"/>
        <v>0</v>
      </c>
      <c r="L66" s="168">
        <f t="shared" si="23"/>
        <v>1190</v>
      </c>
      <c r="M66" s="168">
        <f>IFERROR(IF(B66&lt;=Age+B,J66*Face_Amt*(End_Age-B66-1),""),"")</f>
        <v>13090</v>
      </c>
      <c r="N66" s="168">
        <f ca="1">IFERROR(IF(B66&lt;=Age+B,MAX(MIN(A66,PPP)*Gross_Premium,CV!Z67+L67)*K66,""),"")</f>
        <v>0</v>
      </c>
      <c r="O66" s="171" cm="1">
        <f t="array" ref="O66">IFERROR(IF(B66&lt;=Age+B,VLOOKUP(IF(PPP&lt;20,PPP,"20+"),Exp_load_Prem,_xlfn.IFS(A66=1,1,A66=2,2,A66=3,3,OR(A66=4,A66=5),4,AND(A66&gt;=6,A66&lt;=10),5,AND(A66&gt;=11,A66&lt;=PPP),6,A66&gt;PPP,7)+1,FALSE),""),"")</f>
        <v>0</v>
      </c>
      <c r="P66" s="168">
        <f t="shared" ca="1" si="24"/>
        <v>15.216601615294152</v>
      </c>
      <c r="Q66" s="168">
        <f t="shared" ca="1" si="25"/>
        <v>206.0437405634591</v>
      </c>
      <c r="R66" s="168">
        <f t="shared" ca="1" si="26"/>
        <v>0</v>
      </c>
      <c r="S66" s="168">
        <f t="shared" ca="1" si="27"/>
        <v>0</v>
      </c>
      <c r="T66" s="168">
        <f t="shared" ca="1" si="28"/>
        <v>0</v>
      </c>
      <c r="U66" s="168">
        <f t="shared" ca="1" si="29"/>
        <v>0</v>
      </c>
    </row>
    <row r="67" spans="1:21" x14ac:dyDescent="0.4">
      <c r="A67" s="168">
        <f t="shared" si="16"/>
        <v>50</v>
      </c>
      <c r="B67" s="168">
        <f t="shared" si="30"/>
        <v>69</v>
      </c>
      <c r="C67" s="168">
        <f ca="1">IFERROR(MIN(VLOOKUP(B67,INDIRECT("mort_alb_"&amp;Cover!$J$4),IF(Sex="M",2,3))/1000,1)*Mort_Int,"")</f>
        <v>7.4343999999999999E-3</v>
      </c>
      <c r="D67" s="168">
        <f t="shared" ca="1" si="1"/>
        <v>6.8530241663050072E-3</v>
      </c>
      <c r="E67" s="168">
        <f t="shared" ca="1" si="17"/>
        <v>0.92179922607137188</v>
      </c>
      <c r="F67" s="168">
        <f t="shared" ca="1" si="18"/>
        <v>1.2167789443000307E-3</v>
      </c>
      <c r="G67" s="168">
        <f t="shared" ca="1" si="19"/>
        <v>0.16776046727476748</v>
      </c>
      <c r="H67" s="168">
        <f t="shared" si="20"/>
        <v>0</v>
      </c>
      <c r="I67" s="168">
        <f t="shared" si="21"/>
        <v>1.19</v>
      </c>
      <c r="J67" s="168">
        <f>IFERROR(IF(B67&lt;=Age+B,IF(AND(B67&gt;=Begin_Age,B67&lt;End_Age),GB_rate,0),""),"")</f>
        <v>1.19</v>
      </c>
      <c r="K67" s="168">
        <f t="shared" si="22"/>
        <v>0</v>
      </c>
      <c r="L67" s="168">
        <f t="shared" si="23"/>
        <v>1190</v>
      </c>
      <c r="M67" s="168">
        <f>IFERROR(IF(B67&lt;=Age+B,J67*Face_Amt*(End_Age-B67-1),""),"")</f>
        <v>11900</v>
      </c>
      <c r="N67" s="168">
        <f ca="1">IFERROR(IF(B67&lt;=Age+B,MAX(MIN(A67,PPP)*Gross_Premium,CV!Z68+L68)*K67,""),"")</f>
        <v>0</v>
      </c>
      <c r="O67" s="171" cm="1">
        <f t="array" ref="O67">IFERROR(IF(B67&lt;=Age+B,VLOOKUP(IF(PPP&lt;20,PPP,"20+"),Exp_load_Prem,_xlfn.IFS(A67=1,1,A67=2,2,A67=3,3,OR(A67=4,A67=5),4,AND(A67&gt;=6,A67&lt;=10),5,AND(A67&gt;=11,A67&lt;=PPP),6,A67&gt;PPP,7)+1,FALSE),""),"")</f>
        <v>0</v>
      </c>
      <c r="P67" s="168">
        <f t="shared" ca="1" si="24"/>
        <v>14.479669437170365</v>
      </c>
      <c r="Q67" s="168">
        <f t="shared" ca="1" si="25"/>
        <v>199.63495605697329</v>
      </c>
      <c r="R67" s="168">
        <f t="shared" ca="1" si="26"/>
        <v>0</v>
      </c>
      <c r="S67" s="168">
        <f t="shared" ca="1" si="27"/>
        <v>0</v>
      </c>
      <c r="T67" s="168">
        <f t="shared" ca="1" si="28"/>
        <v>0</v>
      </c>
      <c r="U67" s="168">
        <f t="shared" ca="1" si="29"/>
        <v>0</v>
      </c>
    </row>
    <row r="68" spans="1:21" x14ac:dyDescent="0.4">
      <c r="A68" s="168">
        <f t="shared" si="16"/>
        <v>51</v>
      </c>
      <c r="B68" s="168">
        <f t="shared" si="30"/>
        <v>70</v>
      </c>
      <c r="C68" s="168">
        <f ca="1">IFERROR(MIN(VLOOKUP(B68,INDIRECT("mort_alb_"&amp;Cover!$J$4),IF(Sex="M",2,3))/1000,1)*Mort_Int,"")</f>
        <v>8.0480000000000013E-3</v>
      </c>
      <c r="D68" s="168">
        <f t="shared" ca="1" si="1"/>
        <v>7.3634870329319802E-3</v>
      </c>
      <c r="E68" s="168">
        <f t="shared" ca="1" si="17"/>
        <v>0.91494620190506692</v>
      </c>
      <c r="F68" s="168">
        <f t="shared" ca="1" si="18"/>
        <v>1.2755253185104192E-3</v>
      </c>
      <c r="G68" s="168">
        <f t="shared" ca="1" si="19"/>
        <v>0.16245196961644875</v>
      </c>
      <c r="H68" s="168">
        <f t="shared" si="20"/>
        <v>0</v>
      </c>
      <c r="I68" s="168">
        <f t="shared" si="21"/>
        <v>1.19</v>
      </c>
      <c r="J68" s="168">
        <f>IFERROR(IF(B68&lt;=Age+B,IF(AND(B68&gt;=Begin_Age,B68&lt;End_Age),GB_rate,0),""),"")</f>
        <v>1.19</v>
      </c>
      <c r="K68" s="168">
        <f t="shared" si="22"/>
        <v>0</v>
      </c>
      <c r="L68" s="168">
        <f t="shared" si="23"/>
        <v>1190</v>
      </c>
      <c r="M68" s="168">
        <f>IFERROR(IF(B68&lt;=Age+B,J68*Face_Amt*(End_Age-B68-1),""),"")</f>
        <v>10710</v>
      </c>
      <c r="N68" s="168">
        <f ca="1">IFERROR(IF(B68&lt;=Age+B,MAX(MIN(A68,PPP)*Gross_Premium,CV!Z69+L69)*K68,""),"")</f>
        <v>0</v>
      </c>
      <c r="O68" s="171" cm="1">
        <f t="array" ref="O68">IFERROR(IF(B68&lt;=Age+B,VLOOKUP(IF(PPP&lt;20,PPP,"20+"),Exp_load_Prem,_xlfn.IFS(A68=1,1,A68=2,2,A68=3,3,OR(A68=4,A68=5),4,AND(A68&gt;=6,A68&lt;=10),5,AND(A68&gt;=11,A68&lt;=PPP),6,A68&gt;PPP,7)+1,FALSE),""),"")</f>
        <v>0</v>
      </c>
      <c r="P68" s="168">
        <f t="shared" ca="1" si="24"/>
        <v>13.660876161246589</v>
      </c>
      <c r="Q68" s="168">
        <f t="shared" ca="1" si="25"/>
        <v>193.31784384357402</v>
      </c>
      <c r="R68" s="168">
        <f t="shared" ca="1" si="26"/>
        <v>0</v>
      </c>
      <c r="S68" s="168">
        <f t="shared" ca="1" si="27"/>
        <v>0</v>
      </c>
      <c r="T68" s="168">
        <f t="shared" ca="1" si="28"/>
        <v>0</v>
      </c>
      <c r="U68" s="168">
        <f t="shared" ca="1" si="29"/>
        <v>0</v>
      </c>
    </row>
    <row r="69" spans="1:21" x14ac:dyDescent="0.4">
      <c r="A69" s="168">
        <f t="shared" si="16"/>
        <v>52</v>
      </c>
      <c r="B69" s="168">
        <f t="shared" si="30"/>
        <v>71</v>
      </c>
      <c r="C69" s="168">
        <f ca="1">IFERROR(MIN(VLOOKUP(B69,INDIRECT("mort_alb_"&amp;Cover!$J$4),IF(Sex="M",2,3))/1000,1)*Mort_Int,"")</f>
        <v>8.7528000000000016E-3</v>
      </c>
      <c r="D69" s="168">
        <f t="shared" ca="1" si="1"/>
        <v>7.9438899867328248E-3</v>
      </c>
      <c r="E69" s="168">
        <f t="shared" ca="1" si="17"/>
        <v>0.90758271487213493</v>
      </c>
      <c r="F69" s="168">
        <f t="shared" ca="1" si="18"/>
        <v>1.3425019119103379E-3</v>
      </c>
      <c r="G69" s="168">
        <f t="shared" ca="1" si="19"/>
        <v>0.15721420113656151</v>
      </c>
      <c r="H69" s="168">
        <f t="shared" si="20"/>
        <v>0</v>
      </c>
      <c r="I69" s="168">
        <f t="shared" si="21"/>
        <v>1.19</v>
      </c>
      <c r="J69" s="168">
        <f>IFERROR(IF(B69&lt;=Age+B,IF(AND(B69&gt;=Begin_Age,B69&lt;End_Age),GB_rate,0),""),"")</f>
        <v>1.19</v>
      </c>
      <c r="K69" s="168">
        <f t="shared" si="22"/>
        <v>0</v>
      </c>
      <c r="L69" s="168">
        <f t="shared" si="23"/>
        <v>1190</v>
      </c>
      <c r="M69" s="168">
        <f>IFERROR(IF(B69&lt;=Age+B,J69*Face_Amt*(End_Age-B69-1),""),"")</f>
        <v>9520</v>
      </c>
      <c r="N69" s="168">
        <f ca="1">IFERROR(IF(B69&lt;=Age+B,MAX(MIN(A69,PPP)*Gross_Premium,CV!Z70+L70)*K69,""),"")</f>
        <v>0</v>
      </c>
      <c r="O69" s="171" cm="1">
        <f t="array" ref="O69">IFERROR(IF(B69&lt;=Age+B,VLOOKUP(IF(PPP&lt;20,PPP,"20+"),Exp_load_Prem,_xlfn.IFS(A69=1,1,A69=2,2,A69=3,3,OR(A69=4,A69=5),4,AND(A69&gt;=6,A69&lt;=10),5,AND(A69&gt;=11,A69&lt;=PPP),6,A69&gt;PPP,7)+1,FALSE),""),"")</f>
        <v>0</v>
      </c>
      <c r="P69" s="168">
        <f t="shared" ca="1" si="24"/>
        <v>12.780618201386417</v>
      </c>
      <c r="Q69" s="168">
        <f t="shared" ca="1" si="25"/>
        <v>187.08489935250819</v>
      </c>
      <c r="R69" s="168">
        <f t="shared" ca="1" si="26"/>
        <v>0</v>
      </c>
      <c r="S69" s="168">
        <f t="shared" ca="1" si="27"/>
        <v>0</v>
      </c>
      <c r="T69" s="168">
        <f t="shared" ca="1" si="28"/>
        <v>0</v>
      </c>
      <c r="U69" s="168">
        <f t="shared" ca="1" si="29"/>
        <v>0</v>
      </c>
    </row>
    <row r="70" spans="1:21" x14ac:dyDescent="0.4">
      <c r="A70" s="168">
        <f t="shared" si="16"/>
        <v>53</v>
      </c>
      <c r="B70" s="168">
        <f t="shared" si="30"/>
        <v>72</v>
      </c>
      <c r="C70" s="168">
        <f ca="1">IFERROR(MIN(VLOOKUP(B70,INDIRECT("mort_alb_"&amp;Cover!$J$4),IF(Sex="M",2,3))/1000,1)*Mort_Int,"")</f>
        <v>9.5872000000000006E-3</v>
      </c>
      <c r="D70" s="168">
        <f t="shared" ca="1" si="1"/>
        <v>8.6250173419413281E-3</v>
      </c>
      <c r="E70" s="168">
        <f t="shared" ca="1" si="17"/>
        <v>0.89963882488540214</v>
      </c>
      <c r="F70" s="168">
        <f t="shared" ca="1" si="18"/>
        <v>1.4220596158937106E-3</v>
      </c>
      <c r="G70" s="168">
        <f t="shared" ca="1" si="19"/>
        <v>0.15203720651400338</v>
      </c>
      <c r="H70" s="168">
        <f t="shared" si="20"/>
        <v>0</v>
      </c>
      <c r="I70" s="168">
        <f t="shared" si="21"/>
        <v>1.19</v>
      </c>
      <c r="J70" s="168">
        <f>IFERROR(IF(B70&lt;=Age+B,IF(AND(B70&gt;=Begin_Age,B70&lt;End_Age),GB_rate,0),""),"")</f>
        <v>1.19</v>
      </c>
      <c r="K70" s="168">
        <f t="shared" si="22"/>
        <v>0</v>
      </c>
      <c r="L70" s="168">
        <f t="shared" si="23"/>
        <v>1190</v>
      </c>
      <c r="M70" s="168">
        <f>IFERROR(IF(B70&lt;=Age+B,J70*Face_Amt*(End_Age-B70-1),""),"")</f>
        <v>8330</v>
      </c>
      <c r="N70" s="168">
        <f ca="1">IFERROR(IF(B70&lt;=Age+B,MAX(MIN(A70,PPP)*Gross_Premium,CV!Z71+L71)*K70,""),"")</f>
        <v>0</v>
      </c>
      <c r="O70" s="171" cm="1">
        <f t="array" ref="O70">IFERROR(IF(B70&lt;=Age+B,VLOOKUP(IF(PPP&lt;20,PPP,"20+"),Exp_load_Prem,_xlfn.IFS(A70=1,1,A70=2,2,A70=3,3,OR(A70=4,A70=5),4,AND(A70&gt;=6,A70&lt;=10),5,AND(A70&gt;=11,A70&lt;=PPP),6,A70&gt;PPP,7)+1,FALSE),""),"")</f>
        <v>0</v>
      </c>
      <c r="P70" s="168">
        <f t="shared" ca="1" si="24"/>
        <v>11.84575660039461</v>
      </c>
      <c r="Q70" s="168">
        <f t="shared" ca="1" si="25"/>
        <v>180.92427575166403</v>
      </c>
      <c r="R70" s="168">
        <f t="shared" ca="1" si="26"/>
        <v>0</v>
      </c>
      <c r="S70" s="168">
        <f t="shared" ca="1" si="27"/>
        <v>0</v>
      </c>
      <c r="T70" s="168">
        <f t="shared" ca="1" si="28"/>
        <v>0</v>
      </c>
      <c r="U70" s="168">
        <f t="shared" ca="1" si="29"/>
        <v>0</v>
      </c>
    </row>
    <row r="71" spans="1:21" x14ac:dyDescent="0.4">
      <c r="A71" s="168">
        <f t="shared" si="16"/>
        <v>54</v>
      </c>
      <c r="B71" s="168">
        <f t="shared" si="30"/>
        <v>73</v>
      </c>
      <c r="C71" s="168">
        <f ca="1">IFERROR(MIN(VLOOKUP(B71,INDIRECT("mort_alb_"&amp;Cover!$J$4),IF(Sex="M",2,3))/1000,1)*Mort_Int,"")</f>
        <v>1.05944E-2</v>
      </c>
      <c r="D71" s="168">
        <f t="shared" ca="1" si="1"/>
        <v>9.4397566826384411E-3</v>
      </c>
      <c r="E71" s="168">
        <f t="shared" ca="1" si="17"/>
        <v>0.89101380754346082</v>
      </c>
      <c r="F71" s="168">
        <f t="shared" ca="1" si="18"/>
        <v>1.5184299493991363E-3</v>
      </c>
      <c r="G71" s="168">
        <f t="shared" ca="1" si="19"/>
        <v>0.14690692234898764</v>
      </c>
      <c r="H71" s="168">
        <f t="shared" si="20"/>
        <v>0</v>
      </c>
      <c r="I71" s="168">
        <f t="shared" si="21"/>
        <v>1.19</v>
      </c>
      <c r="J71" s="168">
        <f>IFERROR(IF(B71&lt;=Age+B,IF(AND(B71&gt;=Begin_Age,B71&lt;End_Age),GB_rate,0),""),"")</f>
        <v>1.19</v>
      </c>
      <c r="K71" s="168">
        <f t="shared" si="22"/>
        <v>0</v>
      </c>
      <c r="L71" s="168">
        <f t="shared" si="23"/>
        <v>1190</v>
      </c>
      <c r="M71" s="168">
        <f>IFERROR(IF(B71&lt;=Age+B,J71*Face_Amt*(End_Age-B71-1),""),"")</f>
        <v>7140</v>
      </c>
      <c r="N71" s="168">
        <f ca="1">IFERROR(IF(B71&lt;=Age+B,MAX(MIN(A71,PPP)*Gross_Premium,CV!Z72+L72)*K71,""),"")</f>
        <v>0</v>
      </c>
      <c r="O71" s="171" cm="1">
        <f t="array" ref="O71">IFERROR(IF(B71&lt;=Age+B,VLOOKUP(IF(PPP&lt;20,PPP,"20+"),Exp_load_Prem,_xlfn.IFS(A71=1,1,A71=2,2,A71=3,3,OR(A71=4,A71=5),4,AND(A71&gt;=6,A71&lt;=10),5,AND(A71&gt;=11,A71&lt;=PPP),6,A71&gt;PPP,7)+1,FALSE),""),"")</f>
        <v>0</v>
      </c>
      <c r="P71" s="168">
        <f t="shared" ca="1" si="24"/>
        <v>10.841589838709833</v>
      </c>
      <c r="Q71" s="168">
        <f t="shared" ca="1" si="25"/>
        <v>174.81923759529528</v>
      </c>
      <c r="R71" s="168">
        <f t="shared" ca="1" si="26"/>
        <v>0</v>
      </c>
      <c r="S71" s="168">
        <f t="shared" ca="1" si="27"/>
        <v>0</v>
      </c>
      <c r="T71" s="168">
        <f t="shared" ca="1" si="28"/>
        <v>0</v>
      </c>
      <c r="U71" s="168">
        <f t="shared" ca="1" si="29"/>
        <v>0</v>
      </c>
    </row>
    <row r="72" spans="1:21" x14ac:dyDescent="0.4">
      <c r="A72" s="168">
        <f t="shared" si="16"/>
        <v>55</v>
      </c>
      <c r="B72" s="168">
        <f t="shared" si="30"/>
        <v>74</v>
      </c>
      <c r="C72" s="168">
        <f ca="1">IFERROR(MIN(VLOOKUP(B72,INDIRECT("mort_alb_"&amp;Cover!$J$4),IF(Sex="M",2,3))/1000,1)*Mort_Int,"")</f>
        <v>1.18184E-2</v>
      </c>
      <c r="D72" s="168">
        <f t="shared" ca="1" si="1"/>
        <v>1.0418794762693544E-2</v>
      </c>
      <c r="E72" s="168">
        <f t="shared" ca="1" si="17"/>
        <v>0.88157405086082241</v>
      </c>
      <c r="F72" s="168">
        <f t="shared" ca="1" si="18"/>
        <v>1.6350369763354646E-3</v>
      </c>
      <c r="G72" s="168">
        <f t="shared" ca="1" si="19"/>
        <v>0.14180539673254003</v>
      </c>
      <c r="H72" s="168">
        <f t="shared" si="20"/>
        <v>0</v>
      </c>
      <c r="I72" s="168">
        <f t="shared" si="21"/>
        <v>1.19</v>
      </c>
      <c r="J72" s="168">
        <f>IFERROR(IF(B72&lt;=Age+B,IF(AND(B72&gt;=Begin_Age,B72&lt;End_Age),GB_rate,0),""),"")</f>
        <v>1.19</v>
      </c>
      <c r="K72" s="168">
        <f t="shared" si="22"/>
        <v>0</v>
      </c>
      <c r="L72" s="168">
        <f t="shared" si="23"/>
        <v>1190</v>
      </c>
      <c r="M72" s="168">
        <f>IFERROR(IF(B72&lt;=Age+B,J72*Face_Amt*(End_Age-B72-1),""),"")</f>
        <v>5950</v>
      </c>
      <c r="N72" s="168">
        <f ca="1">IFERROR(IF(B72&lt;=Age+B,MAX(MIN(A72,PPP)*Gross_Premium,CV!Z73+L73)*K72,""),"")</f>
        <v>0</v>
      </c>
      <c r="O72" s="171" cm="1">
        <f t="array" ref="O72">IFERROR(IF(B72&lt;=Age+B,VLOOKUP(IF(PPP&lt;20,PPP,"20+"),Exp_load_Prem,_xlfn.IFS(A72=1,1,A72=2,2,A72=3,3,OR(A72=4,A72=5),4,AND(A72&gt;=6,A72&lt;=10),5,AND(A72&gt;=11,A72&lt;=PPP),6,A72&gt;PPP,7)+1,FALSE),""),"")</f>
        <v>0</v>
      </c>
      <c r="P72" s="168">
        <f t="shared" ca="1" si="24"/>
        <v>9.7284700091960143</v>
      </c>
      <c r="Q72" s="168">
        <f t="shared" ca="1" si="25"/>
        <v>168.74842211172265</v>
      </c>
      <c r="R72" s="168">
        <f t="shared" ca="1" si="26"/>
        <v>0</v>
      </c>
      <c r="S72" s="168">
        <f t="shared" ca="1" si="27"/>
        <v>0</v>
      </c>
      <c r="T72" s="168">
        <f t="shared" ca="1" si="28"/>
        <v>0</v>
      </c>
      <c r="U72" s="168">
        <f t="shared" ca="1" si="29"/>
        <v>0</v>
      </c>
    </row>
    <row r="73" spans="1:21" x14ac:dyDescent="0.4">
      <c r="A73" s="168">
        <f t="shared" si="16"/>
        <v>56</v>
      </c>
      <c r="B73" s="168">
        <f t="shared" si="30"/>
        <v>75</v>
      </c>
      <c r="C73" s="168">
        <f ca="1">IFERROR(MIN(VLOOKUP(B73,INDIRECT("mort_alb_"&amp;Cover!$J$4),IF(Sex="M",2,3))/1000,1)*Mort_Int,"")</f>
        <v>1.33048E-2</v>
      </c>
      <c r="D73" s="168">
        <f t="shared" ca="1" si="1"/>
        <v>1.1590546451334385E-2</v>
      </c>
      <c r="E73" s="168">
        <f t="shared" ca="1" si="17"/>
        <v>0.87115525609812883</v>
      </c>
      <c r="F73" s="168">
        <f t="shared" ca="1" si="18"/>
        <v>1.7745577694089538E-3</v>
      </c>
      <c r="G73" s="168">
        <f t="shared" ca="1" si="19"/>
        <v>0.13671169154321577</v>
      </c>
      <c r="H73" s="168">
        <f t="shared" si="20"/>
        <v>0</v>
      </c>
      <c r="I73" s="168">
        <f t="shared" si="21"/>
        <v>1.19</v>
      </c>
      <c r="J73" s="168">
        <f>IFERROR(IF(B73&lt;=Age+B,IF(AND(B73&gt;=Begin_Age,B73&lt;End_Age),GB_rate,0),""),"")</f>
        <v>1.19</v>
      </c>
      <c r="K73" s="168">
        <f t="shared" si="22"/>
        <v>0</v>
      </c>
      <c r="L73" s="168">
        <f t="shared" si="23"/>
        <v>1190</v>
      </c>
      <c r="M73" s="168">
        <f>IFERROR(IF(B73&lt;=Age+B,J73*Face_Amt*(End_Age-B73-1),""),"")</f>
        <v>4760</v>
      </c>
      <c r="N73" s="168">
        <f ca="1">IFERROR(IF(B73&lt;=Age+B,MAX(MIN(A73,PPP)*Gross_Premium,CV!Z74+L74)*K73,""),"")</f>
        <v>0</v>
      </c>
      <c r="O73" s="171" cm="1">
        <f t="array" ref="O73">IFERROR(IF(B73&lt;=Age+B,VLOOKUP(IF(PPP&lt;20,PPP,"20+"),Exp_load_Prem,_xlfn.IFS(A73=1,1,A73=2,2,A73=3,3,OR(A73=4,A73=5),4,AND(A73&gt;=6,A73&lt;=10),5,AND(A73&gt;=11,A73&lt;=PPP),6,A73&gt;PPP,7)+1,FALSE),""),"")</f>
        <v>0</v>
      </c>
      <c r="P73" s="168">
        <f t="shared" ca="1" si="24"/>
        <v>8.4468949823866204</v>
      </c>
      <c r="Q73" s="168">
        <f t="shared" ca="1" si="25"/>
        <v>162.68691293642678</v>
      </c>
      <c r="R73" s="168">
        <f t="shared" ca="1" si="26"/>
        <v>0</v>
      </c>
      <c r="S73" s="168">
        <f t="shared" ca="1" si="27"/>
        <v>0</v>
      </c>
      <c r="T73" s="168">
        <f t="shared" ca="1" si="28"/>
        <v>0</v>
      </c>
      <c r="U73" s="168">
        <f t="shared" ca="1" si="29"/>
        <v>0</v>
      </c>
    </row>
    <row r="74" spans="1:21" x14ac:dyDescent="0.4">
      <c r="A74" s="168">
        <f t="shared" si="16"/>
        <v>57</v>
      </c>
      <c r="B74" s="168">
        <f t="shared" si="30"/>
        <v>76</v>
      </c>
      <c r="C74" s="168">
        <f ca="1">IFERROR(MIN(VLOOKUP(B74,INDIRECT("mort_alb_"&amp;Cover!$J$4),IF(Sex="M",2,3))/1000,1)*Mort_Int,"")</f>
        <v>1.5096000000000002E-2</v>
      </c>
      <c r="D74" s="168">
        <f t="shared" ca="1" si="1"/>
        <v>1.297598885682801E-2</v>
      </c>
      <c r="E74" s="168">
        <f t="shared" ca="1" si="17"/>
        <v>0.85956470964679443</v>
      </c>
      <c r="F74" s="168">
        <f t="shared" ca="1" si="18"/>
        <v>1.9382189204970503E-3</v>
      </c>
      <c r="G74" s="168">
        <f t="shared" ca="1" si="19"/>
        <v>0.13160270227275281</v>
      </c>
      <c r="H74" s="168">
        <f t="shared" si="20"/>
        <v>0</v>
      </c>
      <c r="I74" s="168">
        <f t="shared" si="21"/>
        <v>1.19</v>
      </c>
      <c r="J74" s="168">
        <f>IFERROR(IF(B74&lt;=Age+B,IF(AND(B74&gt;=Begin_Age,B74&lt;End_Age),GB_rate,0),""),"")</f>
        <v>1.19</v>
      </c>
      <c r="K74" s="168">
        <f t="shared" si="22"/>
        <v>0</v>
      </c>
      <c r="L74" s="168">
        <f t="shared" si="23"/>
        <v>1190</v>
      </c>
      <c r="M74" s="168">
        <f>IFERROR(IF(B74&lt;=Age+B,J74*Face_Amt*(End_Age-B74-1),""),"")</f>
        <v>3570</v>
      </c>
      <c r="N74" s="168">
        <f ca="1">IFERROR(IF(B74&lt;=Age+B,MAX(MIN(A74,PPP)*Gross_Premium,CV!Z75+L75)*K74,""),"")</f>
        <v>0</v>
      </c>
      <c r="O74" s="171" cm="1">
        <f t="array" ref="O74">IFERROR(IF(B74&lt;=Age+B,VLOOKUP(IF(PPP&lt;20,PPP,"20+"),Exp_load_Prem,_xlfn.IFS(A74=1,1,A74=2,2,A74=3,3,OR(A74=4,A74=5),4,AND(A74&gt;=6,A74&lt;=10),5,AND(A74&gt;=11,A74&lt;=PPP),6,A74&gt;PPP,7)+1,FALSE),""),"")</f>
        <v>0</v>
      </c>
      <c r="P74" s="168">
        <f t="shared" ca="1" si="24"/>
        <v>6.91944154617447</v>
      </c>
      <c r="Q74" s="168">
        <f t="shared" ca="1" si="25"/>
        <v>156.60721570457585</v>
      </c>
      <c r="R74" s="168">
        <f t="shared" ca="1" si="26"/>
        <v>0</v>
      </c>
      <c r="S74" s="168">
        <f t="shared" ca="1" si="27"/>
        <v>0</v>
      </c>
      <c r="T74" s="168">
        <f t="shared" ca="1" si="28"/>
        <v>0</v>
      </c>
      <c r="U74" s="168">
        <f t="shared" ca="1" si="29"/>
        <v>0</v>
      </c>
    </row>
    <row r="75" spans="1:21" x14ac:dyDescent="0.4">
      <c r="A75" s="168">
        <f t="shared" si="16"/>
        <v>58</v>
      </c>
      <c r="B75" s="168">
        <f t="shared" si="30"/>
        <v>77</v>
      </c>
      <c r="C75" s="168">
        <f ca="1">IFERROR(MIN(VLOOKUP(B75,INDIRECT("mort_alb_"&amp;Cover!$J$4),IF(Sex="M",2,3))/1000,1)*Mort_Int,"")</f>
        <v>1.7231200000000002E-2</v>
      </c>
      <c r="D75" s="168">
        <f t="shared" ca="1" si="1"/>
        <v>1.4587739565676071E-2</v>
      </c>
      <c r="E75" s="168">
        <f t="shared" ca="1" si="17"/>
        <v>0.84658872078996639</v>
      </c>
      <c r="F75" s="168">
        <f t="shared" ca="1" si="18"/>
        <v>2.1258200591008384E-3</v>
      </c>
      <c r="G75" s="168">
        <f t="shared" ca="1" si="19"/>
        <v>0.12645466134560324</v>
      </c>
      <c r="H75" s="168">
        <f t="shared" si="20"/>
        <v>0</v>
      </c>
      <c r="I75" s="168">
        <f t="shared" si="21"/>
        <v>1.19</v>
      </c>
      <c r="J75" s="168">
        <f>IFERROR(IF(B75&lt;=Age+B,IF(AND(B75&gt;=Begin_Age,B75&lt;End_Age),GB_rate,0),""),"")</f>
        <v>1.19</v>
      </c>
      <c r="K75" s="168">
        <f t="shared" si="22"/>
        <v>0</v>
      </c>
      <c r="L75" s="168">
        <f t="shared" si="23"/>
        <v>1190</v>
      </c>
      <c r="M75" s="168">
        <f>IFERROR(IF(B75&lt;=Age+B,J75*Face_Amt*(End_Age-B75-1),""),"")</f>
        <v>2380</v>
      </c>
      <c r="N75" s="168">
        <f ca="1">IFERROR(IF(B75&lt;=Age+B,MAX(MIN(A75,PPP)*Gross_Premium,CV!Z76+L76)*K75,""),"")</f>
        <v>0</v>
      </c>
      <c r="O75" s="171" cm="1">
        <f t="array" ref="O75">IFERROR(IF(B75&lt;=Age+B,VLOOKUP(IF(PPP&lt;20,PPP,"20+"),Exp_load_Prem,_xlfn.IFS(A75=1,1,A75=2,2,A75=3,3,OR(A75=4,A75=5),4,AND(A75&gt;=6,A75&lt;=10),5,AND(A75&gt;=11,A75&lt;=PPP),6,A75&gt;PPP,7)+1,FALSE),""),"")</f>
        <v>0</v>
      </c>
      <c r="P75" s="168">
        <f t="shared" ca="1" si="24"/>
        <v>5.0594517406599957</v>
      </c>
      <c r="Q75" s="168">
        <f t="shared" ca="1" si="25"/>
        <v>150.48104700126785</v>
      </c>
      <c r="R75" s="168">
        <f t="shared" ca="1" si="26"/>
        <v>0</v>
      </c>
      <c r="S75" s="168">
        <f t="shared" ca="1" si="27"/>
        <v>0</v>
      </c>
      <c r="T75" s="168">
        <f t="shared" ca="1" si="28"/>
        <v>0</v>
      </c>
      <c r="U75" s="168">
        <f t="shared" ca="1" si="29"/>
        <v>0</v>
      </c>
    </row>
    <row r="76" spans="1:21" x14ac:dyDescent="0.4">
      <c r="A76" s="168">
        <f t="shared" si="16"/>
        <v>59</v>
      </c>
      <c r="B76" s="168">
        <f t="shared" si="30"/>
        <v>78</v>
      </c>
      <c r="C76" s="168">
        <f ca="1">IFERROR(MIN(VLOOKUP(B76,INDIRECT("mort_alb_"&amp;Cover!$J$4),IF(Sex="M",2,3))/1000,1)*Mort_Int,"")</f>
        <v>1.9742400000000004E-2</v>
      </c>
      <c r="D76" s="168">
        <f t="shared" ca="1" si="1"/>
        <v>1.6425696171722431E-2</v>
      </c>
      <c r="E76" s="168">
        <f t="shared" ca="1" si="17"/>
        <v>0.83200098122429034</v>
      </c>
      <c r="F76" s="168">
        <f t="shared" ca="1" si="18"/>
        <v>2.3352770936026414E-3</v>
      </c>
      <c r="G76" s="168">
        <f t="shared" ca="1" si="19"/>
        <v>0.12124458125368283</v>
      </c>
      <c r="H76" s="168">
        <f t="shared" si="20"/>
        <v>0</v>
      </c>
      <c r="I76" s="168">
        <f t="shared" si="21"/>
        <v>1.19</v>
      </c>
      <c r="J76" s="168">
        <f>IFERROR(IF(B76&lt;=Age+B,IF(AND(B76&gt;=Begin_Age,B76&lt;End_Age),GB_rate,0),""),"")</f>
        <v>1.19</v>
      </c>
      <c r="K76" s="168">
        <f t="shared" si="22"/>
        <v>0</v>
      </c>
      <c r="L76" s="168">
        <f t="shared" si="23"/>
        <v>1190</v>
      </c>
      <c r="M76" s="168">
        <f>IFERROR(IF(B76&lt;=Age+B,J76*Face_Amt*(End_Age-B76-1),""),"")</f>
        <v>1190</v>
      </c>
      <c r="N76" s="168">
        <f ca="1">IFERROR(IF(B76&lt;=Age+B,MAX(MIN(A76,PPP)*Gross_Premium,CV!Z77+L77)*K76,""),"")</f>
        <v>0</v>
      </c>
      <c r="O76" s="171" cm="1">
        <f t="array" ref="O76">IFERROR(IF(B76&lt;=Age+B,VLOOKUP(IF(PPP&lt;20,PPP,"20+"),Exp_load_Prem,_xlfn.IFS(A76=1,1,A76=2,2,A76=3,3,OR(A76=4,A76=5),4,AND(A76&gt;=6,A76&lt;=10),5,AND(A76&gt;=11,A76&lt;=PPP),6,A76&gt;PPP,7)+1,FALSE),""),"")</f>
        <v>0</v>
      </c>
      <c r="P76" s="168">
        <f t="shared" ca="1" si="24"/>
        <v>2.7789797413871433</v>
      </c>
      <c r="Q76" s="168">
        <f t="shared" ca="1" si="25"/>
        <v>144.28105169188257</v>
      </c>
      <c r="R76" s="168">
        <f t="shared" ca="1" si="26"/>
        <v>0</v>
      </c>
      <c r="S76" s="168">
        <f t="shared" ca="1" si="27"/>
        <v>0</v>
      </c>
      <c r="T76" s="168">
        <f t="shared" ca="1" si="28"/>
        <v>0</v>
      </c>
      <c r="U76" s="168">
        <f t="shared" ca="1" si="29"/>
        <v>0</v>
      </c>
    </row>
    <row r="77" spans="1:21" x14ac:dyDescent="0.4">
      <c r="A77" s="168">
        <f t="shared" si="16"/>
        <v>60</v>
      </c>
      <c r="B77" s="168">
        <f t="shared" si="30"/>
        <v>79</v>
      </c>
      <c r="C77" s="168">
        <f ca="1">IFERROR(MIN(VLOOKUP(B77,INDIRECT("mort_alb_"&amp;Cover!$J$4),IF(Sex="M",2,3))/1000,1)*Mort_Int,"")</f>
        <v>2.2658400000000002E-2</v>
      </c>
      <c r="D77" s="168">
        <f t="shared" ca="1" si="1"/>
        <v>1.8479631038835109E-2</v>
      </c>
      <c r="E77" s="168">
        <f t="shared" ca="1" si="17"/>
        <v>0.81557528505256793</v>
      </c>
      <c r="F77" s="168">
        <f t="shared" ca="1" si="18"/>
        <v>2.5632092671679422E-3</v>
      </c>
      <c r="G77" s="168">
        <f t="shared" ca="1" si="19"/>
        <v>0.11595211925145375</v>
      </c>
      <c r="H77" s="168">
        <f t="shared" si="20"/>
        <v>0</v>
      </c>
      <c r="I77" s="168">
        <f t="shared" si="21"/>
        <v>1.19</v>
      </c>
      <c r="J77" s="168">
        <f>IFERROR(IF(B77&lt;=Age+B,IF(AND(B77&gt;=Begin_Age,B77&lt;End_Age),GB_rate,0),""),"")</f>
        <v>1.19</v>
      </c>
      <c r="K77" s="168">
        <f t="shared" si="22"/>
        <v>0</v>
      </c>
      <c r="L77" s="168">
        <f t="shared" si="23"/>
        <v>1190</v>
      </c>
      <c r="M77" s="168">
        <f>IFERROR(IF(B77&lt;=Age+B,J77*Face_Amt*(End_Age-B77-1),""),"")</f>
        <v>0</v>
      </c>
      <c r="N77" s="168">
        <f ca="1">IFERROR(IF(B77&lt;=Age+B,MAX(MIN(A77,PPP)*Gross_Premium,CV!Z78+L78)*K77,""),"")</f>
        <v>0</v>
      </c>
      <c r="O77" s="171" cm="1">
        <f t="array" ref="O77">IFERROR(IF(B77&lt;=Age+B,VLOOKUP(IF(PPP&lt;20,PPP,"20+"),Exp_load_Prem,_xlfn.IFS(A77=1,1,A77=2,2,A77=3,3,OR(A77=4,A77=5),4,AND(A77&gt;=6,A77&lt;=10),5,AND(A77&gt;=11,A77&lt;=PPP),6,A77&gt;PPP,7)+1,FALSE),""),"")</f>
        <v>0</v>
      </c>
      <c r="P77" s="168">
        <f t="shared" ca="1" si="24"/>
        <v>0</v>
      </c>
      <c r="Q77" s="168">
        <f t="shared" ca="1" si="25"/>
        <v>137.98302190922996</v>
      </c>
      <c r="R77" s="168">
        <f t="shared" ca="1" si="26"/>
        <v>0</v>
      </c>
      <c r="S77" s="168">
        <f t="shared" ca="1" si="27"/>
        <v>0</v>
      </c>
      <c r="T77" s="168">
        <f t="shared" ca="1" si="28"/>
        <v>0</v>
      </c>
      <c r="U77" s="168">
        <f t="shared" ca="1" si="29"/>
        <v>0</v>
      </c>
    </row>
    <row r="78" spans="1:21" x14ac:dyDescent="0.4">
      <c r="A78" s="168">
        <f t="shared" si="16"/>
        <v>61</v>
      </c>
      <c r="B78" s="168">
        <f t="shared" si="30"/>
        <v>80</v>
      </c>
      <c r="C78" s="168">
        <f ca="1">IFERROR(MIN(VLOOKUP(B78,INDIRECT("mort_alb_"&amp;Cover!$J$4),IF(Sex="M",2,3))/1000,1)*Mort_Int,"")</f>
        <v>2.5998400000000001E-2</v>
      </c>
      <c r="D78" s="168">
        <f t="shared" ca="1" si="1"/>
        <v>2.0723211651310632E-2</v>
      </c>
      <c r="E78" s="168">
        <f t="shared" ca="1" si="17"/>
        <v>0.79709565401373283</v>
      </c>
      <c r="F78" s="168">
        <f t="shared" ca="1" si="18"/>
        <v>2.8042967317931408E-3</v>
      </c>
      <c r="G78" s="168">
        <f t="shared" ca="1" si="19"/>
        <v>0.11056080951473818</v>
      </c>
      <c r="H78" s="168">
        <f t="shared" si="20"/>
        <v>0</v>
      </c>
      <c r="I78" s="168">
        <f t="shared" si="21"/>
        <v>1.19</v>
      </c>
      <c r="J78" s="168">
        <f>IFERROR(IF(B78&lt;=Age+B,IF(AND(B78&gt;=Begin_Age,B78&lt;End_Age),GB_rate,0),""),"")</f>
        <v>0</v>
      </c>
      <c r="K78" s="168">
        <f t="shared" si="22"/>
        <v>0</v>
      </c>
      <c r="L78" s="168">
        <f t="shared" si="23"/>
        <v>1190</v>
      </c>
      <c r="M78" s="168">
        <f>IFERROR(IF(B78&lt;=Age+B,J78*Face_Amt*(End_Age-B78-1),""),"")</f>
        <v>0</v>
      </c>
      <c r="N78" s="168">
        <f ca="1">IFERROR(IF(B78&lt;=Age+B,MAX(MIN(A78,PPP)*Gross_Premium,CV!Z79+L79)*K78,""),"")</f>
        <v>0</v>
      </c>
      <c r="O78" s="171" cm="1">
        <f t="array" ref="O78">IFERROR(IF(B78&lt;=Age+B,VLOOKUP(IF(PPP&lt;20,PPP,"20+"),Exp_load_Prem,_xlfn.IFS(A78=1,1,A78=2,2,A78=3,3,OR(A78=4,A78=5),4,AND(A78&gt;=6,A78&lt;=10),5,AND(A78&gt;=11,A78&lt;=PPP),6,A78&gt;PPP,7)+1,FALSE),""),"")</f>
        <v>0</v>
      </c>
      <c r="P78" s="168">
        <f t="shared" ca="1" si="24"/>
        <v>0</v>
      </c>
      <c r="Q78" s="168">
        <f t="shared" ca="1" si="25"/>
        <v>131.56736332253843</v>
      </c>
      <c r="R78" s="168">
        <f t="shared" ca="1" si="26"/>
        <v>0</v>
      </c>
      <c r="S78" s="168">
        <f t="shared" ca="1" si="27"/>
        <v>0</v>
      </c>
      <c r="T78" s="168">
        <f t="shared" ca="1" si="28"/>
        <v>0</v>
      </c>
      <c r="U78" s="168">
        <f t="shared" ca="1" si="29"/>
        <v>0</v>
      </c>
    </row>
    <row r="79" spans="1:21" x14ac:dyDescent="0.4">
      <c r="A79" s="168">
        <f t="shared" si="16"/>
        <v>62</v>
      </c>
      <c r="B79" s="168">
        <f t="shared" si="30"/>
        <v>81</v>
      </c>
      <c r="C79" s="168">
        <f ca="1">IFERROR(MIN(VLOOKUP(B79,INDIRECT("mort_alb_"&amp;Cover!$J$4),IF(Sex="M",2,3))/1000,1)*Mort_Int,"")</f>
        <v>2.9767200000000008E-2</v>
      </c>
      <c r="D79" s="168">
        <f t="shared" ca="1" si="1"/>
        <v>2.3110433766290701E-2</v>
      </c>
      <c r="E79" s="168">
        <f t="shared" ca="1" si="17"/>
        <v>0.7763724423624222</v>
      </c>
      <c r="F79" s="168">
        <f t="shared" ca="1" si="18"/>
        <v>3.0510627157840494E-3</v>
      </c>
      <c r="G79" s="168">
        <f t="shared" ca="1" si="19"/>
        <v>0.10505990767282948</v>
      </c>
      <c r="H79" s="168">
        <f t="shared" si="20"/>
        <v>0</v>
      </c>
      <c r="I79" s="168">
        <f t="shared" si="21"/>
        <v>1.19</v>
      </c>
      <c r="J79" s="168">
        <f>IFERROR(IF(B79&lt;=Age+B,IF(AND(B79&gt;=Begin_Age,B79&lt;End_Age),GB_rate,0),""),"")</f>
        <v>0</v>
      </c>
      <c r="K79" s="168">
        <f t="shared" si="22"/>
        <v>0</v>
      </c>
      <c r="L79" s="168">
        <f t="shared" si="23"/>
        <v>1190</v>
      </c>
      <c r="M79" s="168">
        <f>IFERROR(IF(B79&lt;=Age+B,J79*Face_Amt*(End_Age-B79-1),""),"")</f>
        <v>0</v>
      </c>
      <c r="N79" s="168">
        <f ca="1">IFERROR(IF(B79&lt;=Age+B,MAX(MIN(A79,PPP)*Gross_Premium,CV!Z80+L80)*K79,""),"")</f>
        <v>0</v>
      </c>
      <c r="O79" s="171" cm="1">
        <f t="array" ref="O79">IFERROR(IF(B79&lt;=Age+B,VLOOKUP(IF(PPP&lt;20,PPP,"20+"),Exp_load_Prem,_xlfn.IFS(A79=1,1,A79=2,2,A79=3,3,OR(A79=4,A79=5),4,AND(A79&gt;=6,A79&lt;=10),5,AND(A79&gt;=11,A79&lt;=PPP),6,A79&gt;PPP,7)+1,FALSE),""),"")</f>
        <v>0</v>
      </c>
      <c r="P79" s="168">
        <f t="shared" ca="1" si="24"/>
        <v>0</v>
      </c>
      <c r="Q79" s="168">
        <f t="shared" ca="1" si="25"/>
        <v>125.02129013066708</v>
      </c>
      <c r="R79" s="168">
        <f t="shared" ca="1" si="26"/>
        <v>0</v>
      </c>
      <c r="S79" s="168">
        <f t="shared" ca="1" si="27"/>
        <v>0</v>
      </c>
      <c r="T79" s="168">
        <f t="shared" ca="1" si="28"/>
        <v>0</v>
      </c>
      <c r="U79" s="168">
        <f t="shared" ca="1" si="29"/>
        <v>0</v>
      </c>
    </row>
    <row r="80" spans="1:21" x14ac:dyDescent="0.4">
      <c r="A80" s="168">
        <f t="shared" si="16"/>
        <v>63</v>
      </c>
      <c r="B80" s="168">
        <f t="shared" si="30"/>
        <v>82</v>
      </c>
      <c r="C80" s="168">
        <f ca="1">IFERROR(MIN(VLOOKUP(B80,INDIRECT("mort_alb_"&amp;Cover!$J$4),IF(Sex="M",2,3))/1000,1)*Mort_Int,"")</f>
        <v>3.3421600000000003E-2</v>
      </c>
      <c r="D80" s="168">
        <f t="shared" ca="1" si="1"/>
        <v>2.5175221546496471E-2</v>
      </c>
      <c r="E80" s="168">
        <f t="shared" ca="1" si="17"/>
        <v>0.75326200859613146</v>
      </c>
      <c r="F80" s="168">
        <f t="shared" ca="1" si="18"/>
        <v>3.2425932446637417E-3</v>
      </c>
      <c r="G80" s="168">
        <f t="shared" ca="1" si="19"/>
        <v>9.9446408184537385E-2</v>
      </c>
      <c r="H80" s="168">
        <f t="shared" si="20"/>
        <v>0</v>
      </c>
      <c r="I80" s="168">
        <f t="shared" si="21"/>
        <v>1.19</v>
      </c>
      <c r="J80" s="168">
        <f>IFERROR(IF(B80&lt;=Age+B,IF(AND(B80&gt;=Begin_Age,B80&lt;End_Age),GB_rate,0),""),"")</f>
        <v>0</v>
      </c>
      <c r="K80" s="168">
        <f t="shared" si="22"/>
        <v>0</v>
      </c>
      <c r="L80" s="168">
        <f t="shared" si="23"/>
        <v>1190</v>
      </c>
      <c r="M80" s="168">
        <f>IFERROR(IF(B80&lt;=Age+B,J80*Face_Amt*(End_Age-B80-1),""),"")</f>
        <v>0</v>
      </c>
      <c r="N80" s="168">
        <f ca="1">IFERROR(IF(B80&lt;=Age+B,MAX(MIN(A80,PPP)*Gross_Premium,CV!Z81+L81)*K80,""),"")</f>
        <v>0</v>
      </c>
      <c r="O80" s="171" cm="1">
        <f t="array" ref="O80">IFERROR(IF(B80&lt;=Age+B,VLOOKUP(IF(PPP&lt;20,PPP,"20+"),Exp_load_Prem,_xlfn.IFS(A80=1,1,A80=2,2,A80=3,3,OR(A80=4,A80=5),4,AND(A80&gt;=6,A80&lt;=10),5,AND(A80&gt;=11,A80&lt;=PPP),6,A80&gt;PPP,7)+1,FALSE),""),"")</f>
        <v>0</v>
      </c>
      <c r="P80" s="168">
        <f t="shared" ca="1" si="24"/>
        <v>0</v>
      </c>
      <c r="Q80" s="168">
        <f t="shared" ca="1" si="25"/>
        <v>118.34122573959949</v>
      </c>
      <c r="R80" s="168">
        <f t="shared" ca="1" si="26"/>
        <v>0</v>
      </c>
      <c r="S80" s="168">
        <f t="shared" ca="1" si="27"/>
        <v>0</v>
      </c>
      <c r="T80" s="168">
        <f t="shared" ca="1" si="28"/>
        <v>0</v>
      </c>
      <c r="U80" s="168">
        <f t="shared" ca="1" si="29"/>
        <v>0</v>
      </c>
    </row>
    <row r="81" spans="1:21" x14ac:dyDescent="0.4">
      <c r="A81" s="168">
        <f t="shared" si="16"/>
        <v>64</v>
      </c>
      <c r="B81" s="168">
        <f t="shared" si="30"/>
        <v>83</v>
      </c>
      <c r="C81" s="168">
        <f ca="1">IFERROR(MIN(VLOOKUP(B81,INDIRECT("mort_alb_"&amp;Cover!$J$4),IF(Sex="M",2,3))/1000,1)*Mort_Int,"")</f>
        <v>3.7513600000000008E-2</v>
      </c>
      <c r="D81" s="168">
        <f t="shared" ca="1" si="1"/>
        <v>2.7313156494665196E-2</v>
      </c>
      <c r="E81" s="168">
        <f t="shared" ca="1" si="17"/>
        <v>0.72808678704963503</v>
      </c>
      <c r="F81" s="168">
        <f t="shared" ca="1" si="18"/>
        <v>3.4321574286542487E-3</v>
      </c>
      <c r="G81" s="168">
        <f t="shared" ca="1" si="19"/>
        <v>9.377829278903127E-2</v>
      </c>
      <c r="H81" s="168">
        <f t="shared" si="20"/>
        <v>0</v>
      </c>
      <c r="I81" s="168">
        <f t="shared" si="21"/>
        <v>1.19</v>
      </c>
      <c r="J81" s="168">
        <f>IFERROR(IF(B81&lt;=Age+B,IF(AND(B81&gt;=Begin_Age,B81&lt;End_Age),GB_rate,0),""),"")</f>
        <v>0</v>
      </c>
      <c r="K81" s="168">
        <f t="shared" si="22"/>
        <v>0</v>
      </c>
      <c r="L81" s="168">
        <f t="shared" si="23"/>
        <v>1190</v>
      </c>
      <c r="M81" s="168">
        <f>IFERROR(IF(B81&lt;=Age+B,J81*Face_Amt*(End_Age-B81-1),""),"")</f>
        <v>0</v>
      </c>
      <c r="N81" s="168">
        <f ca="1">IFERROR(IF(B81&lt;=Age+B,MAX(MIN(A81,PPP)*Gross_Premium,CV!Z82+L82)*K81,""),"")</f>
        <v>0</v>
      </c>
      <c r="O81" s="171" cm="1">
        <f t="array" ref="O81">IFERROR(IF(B81&lt;=Age+B,VLOOKUP(IF(PPP&lt;20,PPP,"20+"),Exp_load_Prem,_xlfn.IFS(A81=1,1,A81=2,2,A81=3,3,OR(A81=4,A81=5),4,AND(A81&gt;=6,A81&lt;=10),5,AND(A81&gt;=11,A81&lt;=PPP),6,A81&gt;PPP,7)+1,FALSE),""),"")</f>
        <v>0</v>
      </c>
      <c r="P81" s="168">
        <f t="shared" ca="1" si="24"/>
        <v>0</v>
      </c>
      <c r="Q81" s="168">
        <f t="shared" ca="1" si="25"/>
        <v>111.59616841894722</v>
      </c>
      <c r="R81" s="168">
        <f t="shared" ca="1" si="26"/>
        <v>0</v>
      </c>
      <c r="S81" s="168">
        <f t="shared" ca="1" si="27"/>
        <v>0</v>
      </c>
      <c r="T81" s="168">
        <f t="shared" ca="1" si="28"/>
        <v>0</v>
      </c>
      <c r="U81" s="168">
        <f t="shared" ca="1" si="29"/>
        <v>0</v>
      </c>
    </row>
    <row r="82" spans="1:21" x14ac:dyDescent="0.4">
      <c r="A82" s="168">
        <f t="shared" ref="A82:A113" si="31">IF(B82&lt;=Age+B,B82-Age+1,"")</f>
        <v>65</v>
      </c>
      <c r="B82" s="168">
        <f t="shared" si="30"/>
        <v>84</v>
      </c>
      <c r="C82" s="168">
        <f ca="1">IFERROR(MIN(VLOOKUP(B82,INDIRECT("mort_alb_"&amp;Cover!$J$4),IF(Sex="M",2,3))/1000,1)*Mort_Int,"")</f>
        <v>4.2093600000000002E-2</v>
      </c>
      <c r="D82" s="168">
        <f t="shared" ref="D82:D123" ca="1" si="32">IFERROR(E82*C82,"")</f>
        <v>2.949808489512868E-2</v>
      </c>
      <c r="E82" s="168">
        <f t="shared" ref="E82:E113" ca="1" si="33">IFERROR(IF(B82&lt;=Age+B,IF(A82=1,1,E81-D81),""),"")</f>
        <v>0.70077363055496988</v>
      </c>
      <c r="F82" s="168">
        <f t="shared" ref="F82:F113" ca="1" si="34">IFERROR(D82/(1+Prem_Int)^(B82+1),"")</f>
        <v>3.6163067572702891E-3</v>
      </c>
      <c r="G82" s="168">
        <f t="shared" ref="G82:G113" ca="1" si="35">IFERROR(E82/(1+Prem_Int)^B82,"")</f>
        <v>8.8058859926498242E-2</v>
      </c>
      <c r="H82" s="168">
        <f t="shared" ref="H82:H113" si="36">IFERROR(IF(B82&lt;=Age+B,IF(A82&lt;=PPP,1,0),""),"")</f>
        <v>0</v>
      </c>
      <c r="I82" s="168">
        <f t="shared" ref="I82:I113" si="37">IFERROR(IF(B82&lt;=Age+B,IF(AND(B82&gt;=Begin_Age,A82&lt;=B+1),AB_rate,0),""),"")</f>
        <v>1.19</v>
      </c>
      <c r="J82" s="168">
        <f>IFERROR(IF(B82&lt;=Age+B,IF(AND(B82&gt;=Begin_Age,B82&lt;End_Age),GB_rate,0),""),"")</f>
        <v>0</v>
      </c>
      <c r="K82" s="168">
        <f t="shared" ref="K82:K113" si="38">IFERROR(IF(B82&lt;=Age+B,IF(B82&lt;Begin_Age,1,0),""),"")</f>
        <v>0</v>
      </c>
      <c r="L82" s="168">
        <f t="shared" ref="L82:L113" si="39">IFERROR(IF(B82&lt;=Age+B,I82*Face_Amt,""),"")</f>
        <v>1190</v>
      </c>
      <c r="M82" s="168">
        <f>IFERROR(IF(B82&lt;=Age+B,J82*Face_Amt*(End_Age-B82-1),""),"")</f>
        <v>0</v>
      </c>
      <c r="N82" s="168">
        <f ca="1">IFERROR(IF(B82&lt;=Age+B,MAX(MIN(A82,PPP)*Gross_Premium,CV!Z83+L83)*K82,""),"")</f>
        <v>0</v>
      </c>
      <c r="O82" s="171" cm="1">
        <f t="array" ref="O82">IFERROR(IF(B82&lt;=Age+B,VLOOKUP(IF(PPP&lt;20,PPP,"20+"),Exp_load_Prem,_xlfn.IFS(A82=1,1,A82=2,2,A82=3,3,OR(A82=4,A82=5),4,AND(A82&gt;=6,A82&lt;=10),5,AND(A82&gt;=11,A82&lt;=PPP),6,A82&gt;PPP,7)+1,FALSE),""),"")</f>
        <v>0</v>
      </c>
      <c r="P82" s="168">
        <f t="shared" ref="P82:P113" ca="1" si="40">IFERROR(IF(B82&lt;=Age+B,(M82+N82)*F82,""),"")</f>
        <v>0</v>
      </c>
      <c r="Q82" s="168">
        <f t="shared" ref="Q82:Q113" ca="1" si="41">IFERROR(IF(B82&lt;=Age+B,L82*G82,""),"")</f>
        <v>104.7900433125329</v>
      </c>
      <c r="R82" s="168">
        <f t="shared" ref="R82:R113" ca="1" si="42">IFERROR(IF(B82&lt;=Age+B,H82*G82,""),"")</f>
        <v>0</v>
      </c>
      <c r="S82" s="168">
        <f t="shared" ref="S82:S113" ca="1" si="43">IFERROR(IF(B82&lt;=Age+B,R82*O82,""),"")</f>
        <v>0</v>
      </c>
      <c r="T82" s="168">
        <f t="shared" ref="T82:T113" ca="1" si="44">IFERROR(IF(B82&lt;=Age+B,U82*(1-O82),""),"")</f>
        <v>0</v>
      </c>
      <c r="U82" s="168">
        <f t="shared" ref="U82:U113" ca="1" si="45">IFERROR(IF(B82&lt;=Age+B,$E$10*H82,""),"")</f>
        <v>0</v>
      </c>
    </row>
    <row r="83" spans="1:21" x14ac:dyDescent="0.4">
      <c r="A83" s="168">
        <f t="shared" si="31"/>
        <v>66</v>
      </c>
      <c r="B83" s="168">
        <f t="shared" ref="B83:B114" si="46">IFERROR(IF(AND(Age&gt;=0,Age&lt;=60),IF(B82+1&lt;=Age+B,B82+1,""),""),"")</f>
        <v>85</v>
      </c>
      <c r="C83" s="168">
        <f ca="1">IFERROR(MIN(VLOOKUP(B83,INDIRECT("mort_alb_"&amp;Cover!$J$4),IF(Sex="M",2,3))/1000,1)*Mort_Int,"")</f>
        <v>4.7214400000000004E-2</v>
      </c>
      <c r="D83" s="168">
        <f t="shared" ca="1" si="32"/>
        <v>3.1693872123002009E-2</v>
      </c>
      <c r="E83" s="168">
        <f t="shared" ca="1" si="33"/>
        <v>0.67127554565984116</v>
      </c>
      <c r="F83" s="168">
        <f t="shared" ca="1" si="34"/>
        <v>3.790730221067636E-3</v>
      </c>
      <c r="G83" s="168">
        <f t="shared" ca="1" si="35"/>
        <v>8.2294776097849937E-2</v>
      </c>
      <c r="H83" s="168">
        <f t="shared" si="36"/>
        <v>0</v>
      </c>
      <c r="I83" s="168">
        <f t="shared" si="37"/>
        <v>1.19</v>
      </c>
      <c r="J83" s="168">
        <f>IFERROR(IF(B83&lt;=Age+B,IF(AND(B83&gt;=Begin_Age,B83&lt;End_Age),GB_rate,0),""),"")</f>
        <v>0</v>
      </c>
      <c r="K83" s="168">
        <f t="shared" si="38"/>
        <v>0</v>
      </c>
      <c r="L83" s="168">
        <f t="shared" si="39"/>
        <v>1190</v>
      </c>
      <c r="M83" s="168">
        <f>IFERROR(IF(B83&lt;=Age+B,J83*Face_Amt*(End_Age-B83-1),""),"")</f>
        <v>0</v>
      </c>
      <c r="N83" s="168">
        <f ca="1">IFERROR(IF(B83&lt;=Age+B,MAX(MIN(A83,PPP)*Gross_Premium,CV!Z84+L84)*K83,""),"")</f>
        <v>0</v>
      </c>
      <c r="O83" s="171" cm="1">
        <f t="array" ref="O83">IFERROR(IF(B83&lt;=Age+B,VLOOKUP(IF(PPP&lt;20,PPP,"20+"),Exp_load_Prem,_xlfn.IFS(A83=1,1,A83=2,2,A83=3,3,OR(A83=4,A83=5),4,AND(A83&gt;=6,A83&lt;=10),5,AND(A83&gt;=11,A83&lt;=PPP),6,A83&gt;PPP,7)+1,FALSE),""),"")</f>
        <v>0</v>
      </c>
      <c r="P83" s="168">
        <f t="shared" ca="1" si="40"/>
        <v>0</v>
      </c>
      <c r="Q83" s="168">
        <f t="shared" ca="1" si="41"/>
        <v>97.930783556441426</v>
      </c>
      <c r="R83" s="168">
        <f t="shared" ca="1" si="42"/>
        <v>0</v>
      </c>
      <c r="S83" s="168">
        <f t="shared" ca="1" si="43"/>
        <v>0</v>
      </c>
      <c r="T83" s="168">
        <f t="shared" ca="1" si="44"/>
        <v>0</v>
      </c>
      <c r="U83" s="168">
        <f t="shared" ca="1" si="45"/>
        <v>0</v>
      </c>
    </row>
    <row r="84" spans="1:21" x14ac:dyDescent="0.4">
      <c r="A84" s="168">
        <f t="shared" si="31"/>
        <v>67</v>
      </c>
      <c r="B84" s="168">
        <f t="shared" si="46"/>
        <v>86</v>
      </c>
      <c r="C84" s="168">
        <f ca="1">IFERROR(MIN(VLOOKUP(B84,INDIRECT("mort_alb_"&amp;Cover!$J$4),IF(Sex="M",2,3))/1000,1)*Mort_Int,"")</f>
        <v>5.2936800000000006E-2</v>
      </c>
      <c r="D84" s="168">
        <f t="shared" ca="1" si="32"/>
        <v>3.3857407135684948E-2</v>
      </c>
      <c r="E84" s="168">
        <f t="shared" ca="1" si="33"/>
        <v>0.63958167353683915</v>
      </c>
      <c r="F84" s="168">
        <f t="shared" ca="1" si="34"/>
        <v>3.950730515246529E-3</v>
      </c>
      <c r="G84" s="168">
        <f t="shared" ca="1" si="35"/>
        <v>7.6496856215859138E-2</v>
      </c>
      <c r="H84" s="168">
        <f t="shared" si="36"/>
        <v>0</v>
      </c>
      <c r="I84" s="168">
        <f t="shared" si="37"/>
        <v>1.19</v>
      </c>
      <c r="J84" s="168">
        <f>IFERROR(IF(B84&lt;=Age+B,IF(AND(B84&gt;=Begin_Age,B84&lt;End_Age),GB_rate,0),""),"")</f>
        <v>0</v>
      </c>
      <c r="K84" s="168">
        <f t="shared" si="38"/>
        <v>0</v>
      </c>
      <c r="L84" s="168">
        <f t="shared" si="39"/>
        <v>1190</v>
      </c>
      <c r="M84" s="168">
        <f>IFERROR(IF(B84&lt;=Age+B,J84*Face_Amt*(End_Age-B84-1),""),"")</f>
        <v>0</v>
      </c>
      <c r="N84" s="168">
        <f ca="1">IFERROR(IF(B84&lt;=Age+B,MAX(MIN(A84,PPP)*Gross_Premium,CV!Z85+L85)*K84,""),"")</f>
        <v>0</v>
      </c>
      <c r="O84" s="171" cm="1">
        <f t="array" ref="O84">IFERROR(IF(B84&lt;=Age+B,VLOOKUP(IF(PPP&lt;20,PPP,"20+"),Exp_load_Prem,_xlfn.IFS(A84=1,1,A84=2,2,A84=3,3,OR(A84=4,A84=5),4,AND(A84&gt;=6,A84&lt;=10),5,AND(A84&gt;=11,A84&lt;=PPP),6,A84&gt;PPP,7)+1,FALSE),""),"")</f>
        <v>0</v>
      </c>
      <c r="P84" s="168">
        <f t="shared" ca="1" si="40"/>
        <v>0</v>
      </c>
      <c r="Q84" s="168">
        <f t="shared" ca="1" si="41"/>
        <v>91.031258896872373</v>
      </c>
      <c r="R84" s="168">
        <f t="shared" ca="1" si="42"/>
        <v>0</v>
      </c>
      <c r="S84" s="168">
        <f t="shared" ca="1" si="43"/>
        <v>0</v>
      </c>
      <c r="T84" s="168">
        <f t="shared" ca="1" si="44"/>
        <v>0</v>
      </c>
      <c r="U84" s="168">
        <f t="shared" ca="1" si="45"/>
        <v>0</v>
      </c>
    </row>
    <row r="85" spans="1:21" x14ac:dyDescent="0.4">
      <c r="A85" s="168">
        <f t="shared" si="31"/>
        <v>68</v>
      </c>
      <c r="B85" s="168">
        <f t="shared" si="46"/>
        <v>87</v>
      </c>
      <c r="C85" s="168">
        <f ca="1">IFERROR(MIN(VLOOKUP(B85,INDIRECT("mort_alb_"&amp;Cover!$J$4),IF(Sex="M",2,3))/1000,1)*Mort_Int,"")</f>
        <v>5.9324000000000002E-2</v>
      </c>
      <c r="D85" s="168">
        <f t="shared" ca="1" si="32"/>
        <v>3.5933986379982075E-2</v>
      </c>
      <c r="E85" s="168">
        <f t="shared" ca="1" si="33"/>
        <v>0.60572426640115418</v>
      </c>
      <c r="F85" s="168">
        <f t="shared" ca="1" si="34"/>
        <v>4.0907717145851098E-3</v>
      </c>
      <c r="G85" s="168">
        <f t="shared" ca="1" si="35"/>
        <v>7.0680348719737995E-2</v>
      </c>
      <c r="H85" s="168">
        <f t="shared" si="36"/>
        <v>0</v>
      </c>
      <c r="I85" s="168">
        <f t="shared" si="37"/>
        <v>1.19</v>
      </c>
      <c r="J85" s="168">
        <f>IFERROR(IF(B85&lt;=Age+B,IF(AND(B85&gt;=Begin_Age,B85&lt;End_Age),GB_rate,0),""),"")</f>
        <v>0</v>
      </c>
      <c r="K85" s="168">
        <f t="shared" si="38"/>
        <v>0</v>
      </c>
      <c r="L85" s="168">
        <f t="shared" si="39"/>
        <v>1190</v>
      </c>
      <c r="M85" s="168">
        <f>IFERROR(IF(B85&lt;=Age+B,J85*Face_Amt*(End_Age-B85-1),""),"")</f>
        <v>0</v>
      </c>
      <c r="N85" s="168">
        <f ca="1">IFERROR(IF(B85&lt;=Age+B,MAX(MIN(A85,PPP)*Gross_Premium,CV!Z86+L86)*K85,""),"")</f>
        <v>0</v>
      </c>
      <c r="O85" s="171" cm="1">
        <f t="array" ref="O85">IFERROR(IF(B85&lt;=Age+B,VLOOKUP(IF(PPP&lt;20,PPP,"20+"),Exp_load_Prem,_xlfn.IFS(A85=1,1,A85=2,2,A85=3,3,OR(A85=4,A85=5),4,AND(A85&gt;=6,A85&lt;=10),5,AND(A85&gt;=11,A85&lt;=PPP),6,A85&gt;PPP,7)+1,FALSE),""),"")</f>
        <v>0</v>
      </c>
      <c r="P85" s="168">
        <f t="shared" ca="1" si="40"/>
        <v>0</v>
      </c>
      <c r="Q85" s="168">
        <f t="shared" ca="1" si="41"/>
        <v>84.109614976488217</v>
      </c>
      <c r="R85" s="168">
        <f t="shared" ca="1" si="42"/>
        <v>0</v>
      </c>
      <c r="S85" s="168">
        <f t="shared" ca="1" si="43"/>
        <v>0</v>
      </c>
      <c r="T85" s="168">
        <f t="shared" ca="1" si="44"/>
        <v>0</v>
      </c>
      <c r="U85" s="168">
        <f t="shared" ca="1" si="45"/>
        <v>0</v>
      </c>
    </row>
    <row r="86" spans="1:21" x14ac:dyDescent="0.4">
      <c r="A86" s="168">
        <f t="shared" si="31"/>
        <v>69</v>
      </c>
      <c r="B86" s="168">
        <f t="shared" si="46"/>
        <v>88</v>
      </c>
      <c r="C86" s="168">
        <f ca="1">IFERROR(MIN(VLOOKUP(B86,INDIRECT("mort_alb_"&amp;Cover!$J$4),IF(Sex="M",2,3))/1000,1)*Mort_Int,"")</f>
        <v>6.6448000000000007E-2</v>
      </c>
      <c r="D86" s="168">
        <f t="shared" ca="1" si="32"/>
        <v>3.7861424526846842E-2</v>
      </c>
      <c r="E86" s="168">
        <f t="shared" ca="1" si="33"/>
        <v>0.56979028002117205</v>
      </c>
      <c r="F86" s="168">
        <f t="shared" ca="1" si="34"/>
        <v>4.2050671008838844E-3</v>
      </c>
      <c r="G86" s="168">
        <f t="shared" ca="1" si="35"/>
        <v>6.4865666060769031E-2</v>
      </c>
      <c r="H86" s="168">
        <f t="shared" si="36"/>
        <v>0</v>
      </c>
      <c r="I86" s="168">
        <f t="shared" si="37"/>
        <v>1.19</v>
      </c>
      <c r="J86" s="168">
        <f>IFERROR(IF(B86&lt;=Age+B,IF(AND(B86&gt;=Begin_Age,B86&lt;End_Age),GB_rate,0),""),"")</f>
        <v>0</v>
      </c>
      <c r="K86" s="168">
        <f t="shared" si="38"/>
        <v>0</v>
      </c>
      <c r="L86" s="168">
        <f t="shared" si="39"/>
        <v>1190</v>
      </c>
      <c r="M86" s="168">
        <f>IFERROR(IF(B86&lt;=Age+B,J86*Face_Amt*(End_Age-B86-1),""),"")</f>
        <v>0</v>
      </c>
      <c r="N86" s="168">
        <f ca="1">IFERROR(IF(B86&lt;=Age+B,MAX(MIN(A86,PPP)*Gross_Premium,CV!Z87+L87)*K86,""),"")</f>
        <v>0</v>
      </c>
      <c r="O86" s="171" cm="1">
        <f t="array" ref="O86">IFERROR(IF(B86&lt;=Age+B,VLOOKUP(IF(PPP&lt;20,PPP,"20+"),Exp_load_Prem,_xlfn.IFS(A86=1,1,A86=2,2,A86=3,3,OR(A86=4,A86=5),4,AND(A86&gt;=6,A86&lt;=10),5,AND(A86&gt;=11,A86&lt;=PPP),6,A86&gt;PPP,7)+1,FALSE),""),"")</f>
        <v>0</v>
      </c>
      <c r="P86" s="168">
        <f t="shared" ca="1" si="40"/>
        <v>0</v>
      </c>
      <c r="Q86" s="168">
        <f t="shared" ca="1" si="41"/>
        <v>77.190142612315142</v>
      </c>
      <c r="R86" s="168">
        <f t="shared" ca="1" si="42"/>
        <v>0</v>
      </c>
      <c r="S86" s="168">
        <f t="shared" ca="1" si="43"/>
        <v>0</v>
      </c>
      <c r="T86" s="168">
        <f t="shared" ca="1" si="44"/>
        <v>0</v>
      </c>
      <c r="U86" s="168">
        <f t="shared" ca="1" si="45"/>
        <v>0</v>
      </c>
    </row>
    <row r="87" spans="1:21" x14ac:dyDescent="0.4">
      <c r="A87" s="168">
        <f t="shared" si="31"/>
        <v>70</v>
      </c>
      <c r="B87" s="168">
        <f t="shared" si="46"/>
        <v>89</v>
      </c>
      <c r="C87" s="168">
        <f ca="1">IFERROR(MIN(VLOOKUP(B87,INDIRECT("mort_alb_"&amp;Cover!$J$4),IF(Sex="M",2,3))/1000,1)*Mort_Int,"")</f>
        <v>7.438320000000001E-2</v>
      </c>
      <c r="D87" s="168">
        <f t="shared" ca="1" si="32"/>
        <v>3.9566570444005494E-2</v>
      </c>
      <c r="E87" s="168">
        <f t="shared" ca="1" si="33"/>
        <v>0.53192885549432523</v>
      </c>
      <c r="F87" s="168">
        <f t="shared" ca="1" si="34"/>
        <v>4.2872669181425044E-3</v>
      </c>
      <c r="G87" s="168">
        <f t="shared" ca="1" si="35"/>
        <v>5.9078509543768844E-2</v>
      </c>
      <c r="H87" s="168">
        <f t="shared" si="36"/>
        <v>0</v>
      </c>
      <c r="I87" s="168">
        <f t="shared" si="37"/>
        <v>1.19</v>
      </c>
      <c r="J87" s="168">
        <f>IFERROR(IF(B87&lt;=Age+B,IF(AND(B87&gt;=Begin_Age,B87&lt;End_Age),GB_rate,0),""),"")</f>
        <v>0</v>
      </c>
      <c r="K87" s="168">
        <f t="shared" si="38"/>
        <v>0</v>
      </c>
      <c r="L87" s="168">
        <f t="shared" si="39"/>
        <v>1190</v>
      </c>
      <c r="M87" s="168">
        <f>IFERROR(IF(B87&lt;=Age+B,J87*Face_Amt*(End_Age-B87-1),""),"")</f>
        <v>0</v>
      </c>
      <c r="N87" s="168">
        <f ca="1">IFERROR(IF(B87&lt;=Age+B,MAX(MIN(A87,PPP)*Gross_Premium,CV!Z88+L88)*K87,""),"")</f>
        <v>0</v>
      </c>
      <c r="O87" s="171" cm="1">
        <f t="array" ref="O87">IFERROR(IF(B87&lt;=Age+B,VLOOKUP(IF(PPP&lt;20,PPP,"20+"),Exp_load_Prem,_xlfn.IFS(A87=1,1,A87=2,2,A87=3,3,OR(A87=4,A87=5),4,AND(A87&gt;=6,A87&lt;=10),5,AND(A87&gt;=11,A87&lt;=PPP),6,A87&gt;PPP,7)+1,FALSE),""),"")</f>
        <v>0</v>
      </c>
      <c r="P87" s="168">
        <f t="shared" ca="1" si="40"/>
        <v>0</v>
      </c>
      <c r="Q87" s="168">
        <f t="shared" ca="1" si="41"/>
        <v>70.30342635708493</v>
      </c>
      <c r="R87" s="168">
        <f t="shared" ca="1" si="42"/>
        <v>0</v>
      </c>
      <c r="S87" s="168">
        <f t="shared" ca="1" si="43"/>
        <v>0</v>
      </c>
      <c r="T87" s="168">
        <f t="shared" ca="1" si="44"/>
        <v>0</v>
      </c>
      <c r="U87" s="168">
        <f t="shared" ca="1" si="45"/>
        <v>0</v>
      </c>
    </row>
    <row r="88" spans="1:21" x14ac:dyDescent="0.4">
      <c r="A88" s="168">
        <f t="shared" si="31"/>
        <v>71</v>
      </c>
      <c r="B88" s="168">
        <f t="shared" si="46"/>
        <v>90</v>
      </c>
      <c r="C88" s="168">
        <f ca="1">IFERROR(MIN(VLOOKUP(B88,INDIRECT("mort_alb_"&amp;Cover!$J$4),IF(Sex="M",2,3))/1000,1)*Mort_Int,"")</f>
        <v>8.3211199999999999E-2</v>
      </c>
      <c r="D88" s="168">
        <f t="shared" ca="1" si="32"/>
        <v>4.0970056573779168E-2</v>
      </c>
      <c r="E88" s="168">
        <f t="shared" ca="1" si="33"/>
        <v>0.49236228505031976</v>
      </c>
      <c r="F88" s="168">
        <f t="shared" ca="1" si="34"/>
        <v>4.3310661108816612E-3</v>
      </c>
      <c r="G88" s="168">
        <f t="shared" ca="1" si="35"/>
        <v>5.3350303368461242E-2</v>
      </c>
      <c r="H88" s="168">
        <f t="shared" si="36"/>
        <v>0</v>
      </c>
      <c r="I88" s="168">
        <f t="shared" si="37"/>
        <v>1.19</v>
      </c>
      <c r="J88" s="168">
        <f>IFERROR(IF(B88&lt;=Age+B,IF(AND(B88&gt;=Begin_Age,B88&lt;End_Age),GB_rate,0),""),"")</f>
        <v>0</v>
      </c>
      <c r="K88" s="168">
        <f t="shared" si="38"/>
        <v>0</v>
      </c>
      <c r="L88" s="168">
        <f t="shared" si="39"/>
        <v>1190</v>
      </c>
      <c r="M88" s="168">
        <f>IFERROR(IF(B88&lt;=Age+B,J88*Face_Amt*(End_Age-B88-1),""),"")</f>
        <v>0</v>
      </c>
      <c r="N88" s="168">
        <f ca="1">IFERROR(IF(B88&lt;=Age+B,MAX(MIN(A88,PPP)*Gross_Premium,CV!Z89+L89)*K88,""),"")</f>
        <v>0</v>
      </c>
      <c r="O88" s="171" cm="1">
        <f t="array" ref="O88">IFERROR(IF(B88&lt;=Age+B,VLOOKUP(IF(PPP&lt;20,PPP,"20+"),Exp_load_Prem,_xlfn.IFS(A88=1,1,A88=2,2,A88=3,3,OR(A88=4,A88=5),4,AND(A88&gt;=6,A88&lt;=10),5,AND(A88&gt;=11,A88&lt;=PPP),6,A88&gt;PPP,7)+1,FALSE),""),"")</f>
        <v>0</v>
      </c>
      <c r="P88" s="168">
        <f t="shared" ca="1" si="40"/>
        <v>0</v>
      </c>
      <c r="Q88" s="168">
        <f t="shared" ca="1" si="41"/>
        <v>63.486861008468878</v>
      </c>
      <c r="R88" s="168">
        <f t="shared" ca="1" si="42"/>
        <v>0</v>
      </c>
      <c r="S88" s="168">
        <f t="shared" ca="1" si="43"/>
        <v>0</v>
      </c>
      <c r="T88" s="168">
        <f t="shared" ca="1" si="44"/>
        <v>0</v>
      </c>
      <c r="U88" s="168">
        <f t="shared" ca="1" si="45"/>
        <v>0</v>
      </c>
    </row>
    <row r="89" spans="1:21" x14ac:dyDescent="0.4">
      <c r="A89" s="168">
        <f t="shared" si="31"/>
        <v>72</v>
      </c>
      <c r="B89" s="168">
        <f t="shared" si="46"/>
        <v>91</v>
      </c>
      <c r="C89" s="168">
        <f ca="1">IFERROR(MIN(VLOOKUP(B89,INDIRECT("mort_alb_"&amp;Cover!$J$4),IF(Sex="M",2,3))/1000,1)*Mort_Int,"")</f>
        <v>9.3017600000000006E-2</v>
      </c>
      <c r="D89" s="168">
        <f t="shared" ca="1" si="32"/>
        <v>4.1987421751539467E-2</v>
      </c>
      <c r="E89" s="168">
        <f t="shared" ca="1" si="33"/>
        <v>0.45139222847654059</v>
      </c>
      <c r="F89" s="168">
        <f t="shared" ca="1" si="34"/>
        <v>4.3303559016335492E-3</v>
      </c>
      <c r="G89" s="168">
        <f t="shared" ca="1" si="35"/>
        <v>4.7718010346153701E-2</v>
      </c>
      <c r="H89" s="168">
        <f t="shared" si="36"/>
        <v>0</v>
      </c>
      <c r="I89" s="168">
        <f t="shared" si="37"/>
        <v>1.19</v>
      </c>
      <c r="J89" s="168">
        <f>IFERROR(IF(B89&lt;=Age+B,IF(AND(B89&gt;=Begin_Age,B89&lt;End_Age),GB_rate,0),""),"")</f>
        <v>0</v>
      </c>
      <c r="K89" s="168">
        <f t="shared" si="38"/>
        <v>0</v>
      </c>
      <c r="L89" s="168">
        <f t="shared" si="39"/>
        <v>1190</v>
      </c>
      <c r="M89" s="168">
        <f>IFERROR(IF(B89&lt;=Age+B,J89*Face_Amt*(End_Age-B89-1),""),"")</f>
        <v>0</v>
      </c>
      <c r="N89" s="168">
        <f ca="1">IFERROR(IF(B89&lt;=Age+B,MAX(MIN(A89,PPP)*Gross_Premium,CV!Z90+L90)*K89,""),"")</f>
        <v>0</v>
      </c>
      <c r="O89" s="171" cm="1">
        <f t="array" ref="O89">IFERROR(IF(B89&lt;=Age+B,VLOOKUP(IF(PPP&lt;20,PPP,"20+"),Exp_load_Prem,_xlfn.IFS(A89=1,1,A89=2,2,A89=3,3,OR(A89=4,A89=5),4,AND(A89&gt;=6,A89&lt;=10),5,AND(A89&gt;=11,A89&lt;=PPP),6,A89&gt;PPP,7)+1,FALSE),""),"")</f>
        <v>0</v>
      </c>
      <c r="P89" s="168">
        <f t="shared" ca="1" si="40"/>
        <v>0</v>
      </c>
      <c r="Q89" s="168">
        <f t="shared" ca="1" si="41"/>
        <v>56.784432311922906</v>
      </c>
      <c r="R89" s="168">
        <f t="shared" ca="1" si="42"/>
        <v>0</v>
      </c>
      <c r="S89" s="168">
        <f t="shared" ca="1" si="43"/>
        <v>0</v>
      </c>
      <c r="T89" s="168">
        <f t="shared" ca="1" si="44"/>
        <v>0</v>
      </c>
      <c r="U89" s="168">
        <f t="shared" ca="1" si="45"/>
        <v>0</v>
      </c>
    </row>
    <row r="90" spans="1:21" x14ac:dyDescent="0.4">
      <c r="A90" s="168">
        <f t="shared" si="31"/>
        <v>73</v>
      </c>
      <c r="B90" s="168">
        <f t="shared" si="46"/>
        <v>92</v>
      </c>
      <c r="C90" s="168">
        <f ca="1">IFERROR(MIN(VLOOKUP(B90,INDIRECT("mort_alb_"&amp;Cover!$J$4),IF(Sex="M",2,3))/1000,1)*Mort_Int,"")</f>
        <v>0.1038944</v>
      </c>
      <c r="D90" s="168">
        <f t="shared" ca="1" si="32"/>
        <v>4.2534866751809959E-2</v>
      </c>
      <c r="E90" s="168">
        <f t="shared" ca="1" si="33"/>
        <v>0.40940480672500112</v>
      </c>
      <c r="F90" s="168">
        <f t="shared" ca="1" si="34"/>
        <v>4.2798208996702803E-3</v>
      </c>
      <c r="G90" s="168">
        <f t="shared" ca="1" si="35"/>
        <v>4.2223800533638361E-2</v>
      </c>
      <c r="H90" s="168">
        <f t="shared" si="36"/>
        <v>0</v>
      </c>
      <c r="I90" s="168">
        <f t="shared" si="37"/>
        <v>1.19</v>
      </c>
      <c r="J90" s="168">
        <f>IFERROR(IF(B90&lt;=Age+B,IF(AND(B90&gt;=Begin_Age,B90&lt;End_Age),GB_rate,0),""),"")</f>
        <v>0</v>
      </c>
      <c r="K90" s="168">
        <f t="shared" si="38"/>
        <v>0</v>
      </c>
      <c r="L90" s="168">
        <f t="shared" si="39"/>
        <v>1190</v>
      </c>
      <c r="M90" s="168">
        <f>IFERROR(IF(B90&lt;=Age+B,J90*Face_Amt*(End_Age-B90-1),""),"")</f>
        <v>0</v>
      </c>
      <c r="N90" s="168">
        <f ca="1">IFERROR(IF(B90&lt;=Age+B,MAX(MIN(A90,PPP)*Gross_Premium,CV!Z91+L91)*K90,""),"")</f>
        <v>0</v>
      </c>
      <c r="O90" s="171" cm="1">
        <f t="array" ref="O90">IFERROR(IF(B90&lt;=Age+B,VLOOKUP(IF(PPP&lt;20,PPP,"20+"),Exp_load_Prem,_xlfn.IFS(A90=1,1,A90=2,2,A90=3,3,OR(A90=4,A90=5),4,AND(A90&gt;=6,A90&lt;=10),5,AND(A90&gt;=11,A90&lt;=PPP),6,A90&gt;PPP,7)+1,FALSE),""),"")</f>
        <v>0</v>
      </c>
      <c r="P90" s="168">
        <f t="shared" ca="1" si="40"/>
        <v>0</v>
      </c>
      <c r="Q90" s="168">
        <f t="shared" ca="1" si="41"/>
        <v>50.246322635029649</v>
      </c>
      <c r="R90" s="168">
        <f t="shared" ca="1" si="42"/>
        <v>0</v>
      </c>
      <c r="S90" s="168">
        <f t="shared" ca="1" si="43"/>
        <v>0</v>
      </c>
      <c r="T90" s="168">
        <f t="shared" ca="1" si="44"/>
        <v>0</v>
      </c>
      <c r="U90" s="168">
        <f t="shared" ca="1" si="45"/>
        <v>0</v>
      </c>
    </row>
    <row r="91" spans="1:21" x14ac:dyDescent="0.4">
      <c r="A91" s="168">
        <f t="shared" si="31"/>
        <v>74</v>
      </c>
      <c r="B91" s="168">
        <f t="shared" si="46"/>
        <v>93</v>
      </c>
      <c r="C91" s="168">
        <f ca="1">IFERROR(MIN(VLOOKUP(B91,INDIRECT("mort_alb_"&amp;Cover!$J$4),IF(Sex="M",2,3))/1000,1)*Mort_Int,"")</f>
        <v>0.11593520000000002</v>
      </c>
      <c r="D91" s="168">
        <f t="shared" ca="1" si="32"/>
        <v>4.2533139864779919E-2</v>
      </c>
      <c r="E91" s="168">
        <f t="shared" ca="1" si="33"/>
        <v>0.36686993997319117</v>
      </c>
      <c r="F91" s="168">
        <f t="shared" ca="1" si="34"/>
        <v>4.1752655042101901E-3</v>
      </c>
      <c r="G91" s="168">
        <f t="shared" ca="1" si="35"/>
        <v>3.6914130840464701E-2</v>
      </c>
      <c r="H91" s="168">
        <f t="shared" si="36"/>
        <v>0</v>
      </c>
      <c r="I91" s="168">
        <f t="shared" si="37"/>
        <v>1.19</v>
      </c>
      <c r="J91" s="168">
        <f>IFERROR(IF(B91&lt;=Age+B,IF(AND(B91&gt;=Begin_Age,B91&lt;End_Age),GB_rate,0),""),"")</f>
        <v>0</v>
      </c>
      <c r="K91" s="168">
        <f t="shared" si="38"/>
        <v>0</v>
      </c>
      <c r="L91" s="168">
        <f t="shared" si="39"/>
        <v>1190</v>
      </c>
      <c r="M91" s="168">
        <f>IFERROR(IF(B91&lt;=Age+B,J91*Face_Amt*(End_Age-B91-1),""),"")</f>
        <v>0</v>
      </c>
      <c r="N91" s="168">
        <f ca="1">IFERROR(IF(B91&lt;=Age+B,MAX(MIN(A91,PPP)*Gross_Premium,CV!Z92+L92)*K91,""),"")</f>
        <v>0</v>
      </c>
      <c r="O91" s="171" cm="1">
        <f t="array" ref="O91">IFERROR(IF(B91&lt;=Age+B,VLOOKUP(IF(PPP&lt;20,PPP,"20+"),Exp_load_Prem,_xlfn.IFS(A91=1,1,A91=2,2,A91=3,3,OR(A91=4,A91=5),4,AND(A91&gt;=6,A91&lt;=10),5,AND(A91&gt;=11,A91&lt;=PPP),6,A91&gt;PPP,7)+1,FALSE),""),"")</f>
        <v>0</v>
      </c>
      <c r="P91" s="168">
        <f t="shared" ca="1" si="40"/>
        <v>0</v>
      </c>
      <c r="Q91" s="168">
        <f t="shared" ca="1" si="41"/>
        <v>43.927815700152998</v>
      </c>
      <c r="R91" s="168">
        <f t="shared" ca="1" si="42"/>
        <v>0</v>
      </c>
      <c r="S91" s="168">
        <f t="shared" ca="1" si="43"/>
        <v>0</v>
      </c>
      <c r="T91" s="168">
        <f t="shared" ca="1" si="44"/>
        <v>0</v>
      </c>
      <c r="U91" s="168">
        <f t="shared" ca="1" si="45"/>
        <v>0</v>
      </c>
    </row>
    <row r="92" spans="1:21" x14ac:dyDescent="0.4">
      <c r="A92" s="168">
        <f t="shared" si="31"/>
        <v>75</v>
      </c>
      <c r="B92" s="168">
        <f t="shared" si="46"/>
        <v>94</v>
      </c>
      <c r="C92" s="168">
        <f ca="1">IFERROR(MIN(VLOOKUP(B92,INDIRECT("mort_alb_"&amp;Cover!$J$4),IF(Sex="M",2,3))/1000,1)*Mort_Int,"")</f>
        <v>0.12923760000000001</v>
      </c>
      <c r="D92" s="168">
        <f t="shared" ca="1" si="32"/>
        <v>4.1916509637690814E-2</v>
      </c>
      <c r="E92" s="168">
        <f t="shared" ca="1" si="33"/>
        <v>0.32433680010841126</v>
      </c>
      <c r="F92" s="168">
        <f t="shared" ca="1" si="34"/>
        <v>4.0143746345770882E-3</v>
      </c>
      <c r="G92" s="168">
        <f t="shared" ca="1" si="35"/>
        <v>3.1838520681609042E-2</v>
      </c>
      <c r="H92" s="168">
        <f t="shared" si="36"/>
        <v>0</v>
      </c>
      <c r="I92" s="168">
        <f t="shared" si="37"/>
        <v>1.19</v>
      </c>
      <c r="J92" s="168">
        <f>IFERROR(IF(B92&lt;=Age+B,IF(AND(B92&gt;=Begin_Age,B92&lt;End_Age),GB_rate,0),""),"")</f>
        <v>0</v>
      </c>
      <c r="K92" s="168">
        <f t="shared" si="38"/>
        <v>0</v>
      </c>
      <c r="L92" s="168">
        <f t="shared" si="39"/>
        <v>1190</v>
      </c>
      <c r="M92" s="168">
        <f>IFERROR(IF(B92&lt;=Age+B,J92*Face_Amt*(End_Age-B92-1),""),"")</f>
        <v>0</v>
      </c>
      <c r="N92" s="168">
        <f ca="1">IFERROR(IF(B92&lt;=Age+B,MAX(MIN(A92,PPP)*Gross_Premium,CV!Z93+L93)*K92,""),"")</f>
        <v>0</v>
      </c>
      <c r="O92" s="171" cm="1">
        <f t="array" ref="O92">IFERROR(IF(B92&lt;=Age+B,VLOOKUP(IF(PPP&lt;20,PPP,"20+"),Exp_load_Prem,_xlfn.IFS(A92=1,1,A92=2,2,A92=3,3,OR(A92=4,A92=5),4,AND(A92&gt;=6,A92&lt;=10),5,AND(A92&gt;=11,A92&lt;=PPP),6,A92&gt;PPP,7)+1,FALSE),""),"")</f>
        <v>0</v>
      </c>
      <c r="P92" s="168">
        <f t="shared" ca="1" si="40"/>
        <v>0</v>
      </c>
      <c r="Q92" s="168">
        <f t="shared" ca="1" si="41"/>
        <v>37.887839611114757</v>
      </c>
      <c r="R92" s="168">
        <f t="shared" ca="1" si="42"/>
        <v>0</v>
      </c>
      <c r="S92" s="168">
        <f t="shared" ca="1" si="43"/>
        <v>0</v>
      </c>
      <c r="T92" s="168">
        <f t="shared" ca="1" si="44"/>
        <v>0</v>
      </c>
      <c r="U92" s="168">
        <f t="shared" ca="1" si="45"/>
        <v>0</v>
      </c>
    </row>
    <row r="93" spans="1:21" x14ac:dyDescent="0.4">
      <c r="A93" s="168">
        <f t="shared" si="31"/>
        <v>76</v>
      </c>
      <c r="B93" s="168">
        <f t="shared" si="46"/>
        <v>95</v>
      </c>
      <c r="C93" s="168">
        <f ca="1">IFERROR(MIN(VLOOKUP(B93,INDIRECT("mort_alb_"&amp;Cover!$J$4),IF(Sex="M",2,3))/1000,1)*Mort_Int,"")</f>
        <v>0.1438992</v>
      </c>
      <c r="D93" s="168">
        <f t="shared" ca="1" si="32"/>
        <v>4.0640053862504293E-2</v>
      </c>
      <c r="E93" s="168">
        <f t="shared" ca="1" si="33"/>
        <v>0.28242029047072043</v>
      </c>
      <c r="F93" s="168">
        <f t="shared" ca="1" si="34"/>
        <v>3.7971975960886723E-3</v>
      </c>
      <c r="G93" s="168">
        <f t="shared" ca="1" si="35"/>
        <v>2.7047596762114649E-2</v>
      </c>
      <c r="H93" s="168">
        <f t="shared" si="36"/>
        <v>0</v>
      </c>
      <c r="I93" s="168">
        <f t="shared" si="37"/>
        <v>1.19</v>
      </c>
      <c r="J93" s="168">
        <f>IFERROR(IF(B93&lt;=Age+B,IF(AND(B93&gt;=Begin_Age,B93&lt;End_Age),GB_rate,0),""),"")</f>
        <v>0</v>
      </c>
      <c r="K93" s="168">
        <f t="shared" si="38"/>
        <v>0</v>
      </c>
      <c r="L93" s="168">
        <f t="shared" si="39"/>
        <v>1190</v>
      </c>
      <c r="M93" s="168">
        <f>IFERROR(IF(B93&lt;=Age+B,J93*Face_Amt*(End_Age-B93-1),""),"")</f>
        <v>0</v>
      </c>
      <c r="N93" s="168">
        <f ca="1">IFERROR(IF(B93&lt;=Age+B,MAX(MIN(A93,PPP)*Gross_Premium,CV!Z94+L94)*K93,""),"")</f>
        <v>0</v>
      </c>
      <c r="O93" s="171" cm="1">
        <f t="array" ref="O93">IFERROR(IF(B93&lt;=Age+B,VLOOKUP(IF(PPP&lt;20,PPP,"20+"),Exp_load_Prem,_xlfn.IFS(A93=1,1,A93=2,2,A93=3,3,OR(A93=4,A93=5),4,AND(A93&gt;=6,A93&lt;=10),5,AND(A93&gt;=11,A93&lt;=PPP),6,A93&gt;PPP,7)+1,FALSE),""),"")</f>
        <v>0</v>
      </c>
      <c r="P93" s="168">
        <f t="shared" ca="1" si="40"/>
        <v>0</v>
      </c>
      <c r="Q93" s="168">
        <f t="shared" ca="1" si="41"/>
        <v>32.186640146916432</v>
      </c>
      <c r="R93" s="168">
        <f t="shared" ca="1" si="42"/>
        <v>0</v>
      </c>
      <c r="S93" s="168">
        <f t="shared" ca="1" si="43"/>
        <v>0</v>
      </c>
      <c r="T93" s="168">
        <f t="shared" ca="1" si="44"/>
        <v>0</v>
      </c>
      <c r="U93" s="168">
        <f t="shared" ca="1" si="45"/>
        <v>0</v>
      </c>
    </row>
    <row r="94" spans="1:21" x14ac:dyDescent="0.4">
      <c r="A94" s="168">
        <f t="shared" si="31"/>
        <v>77</v>
      </c>
      <c r="B94" s="168">
        <f t="shared" si="46"/>
        <v>96</v>
      </c>
      <c r="C94" s="168">
        <f ca="1">IFERROR(MIN(VLOOKUP(B94,INDIRECT("mort_alb_"&amp;Cover!$J$4),IF(Sex="M",2,3))/1000,1)*Mort_Int,"")</f>
        <v>0.16001679999999999</v>
      </c>
      <c r="D94" s="168">
        <f t="shared" ca="1" si="32"/>
        <v>3.8688899765289594E-2</v>
      </c>
      <c r="E94" s="168">
        <f t="shared" ca="1" si="33"/>
        <v>0.24178023660821613</v>
      </c>
      <c r="F94" s="168">
        <f t="shared" ca="1" si="34"/>
        <v>3.5267237007141476E-3</v>
      </c>
      <c r="G94" s="168">
        <f t="shared" ca="1" si="35"/>
        <v>2.2590701684023187E-2</v>
      </c>
      <c r="H94" s="168">
        <f t="shared" si="36"/>
        <v>0</v>
      </c>
      <c r="I94" s="168">
        <f t="shared" si="37"/>
        <v>1.19</v>
      </c>
      <c r="J94" s="168">
        <f>IFERROR(IF(B94&lt;=Age+B,IF(AND(B94&gt;=Begin_Age,B94&lt;End_Age),GB_rate,0),""),"")</f>
        <v>0</v>
      </c>
      <c r="K94" s="168">
        <f t="shared" si="38"/>
        <v>0</v>
      </c>
      <c r="L94" s="168">
        <f t="shared" si="39"/>
        <v>1190</v>
      </c>
      <c r="M94" s="168">
        <f>IFERROR(IF(B94&lt;=Age+B,J94*Face_Amt*(End_Age-B94-1),""),"")</f>
        <v>0</v>
      </c>
      <c r="N94" s="168">
        <f ca="1">IFERROR(IF(B94&lt;=Age+B,MAX(MIN(A94,PPP)*Gross_Premium,CV!Z95+L95)*K94,""),"")</f>
        <v>0</v>
      </c>
      <c r="O94" s="171" cm="1">
        <f t="array" ref="O94">IFERROR(IF(B94&lt;=Age+B,VLOOKUP(IF(PPP&lt;20,PPP,"20+"),Exp_load_Prem,_xlfn.IFS(A94=1,1,A94=2,2,A94=3,3,OR(A94=4,A94=5),4,AND(A94&gt;=6,A94&lt;=10),5,AND(A94&gt;=11,A94&lt;=PPP),6,A94&gt;PPP,7)+1,FALSE),""),"")</f>
        <v>0</v>
      </c>
      <c r="P94" s="168">
        <f t="shared" ca="1" si="40"/>
        <v>0</v>
      </c>
      <c r="Q94" s="168">
        <f t="shared" ca="1" si="41"/>
        <v>26.882935003987591</v>
      </c>
      <c r="R94" s="168">
        <f t="shared" ca="1" si="42"/>
        <v>0</v>
      </c>
      <c r="S94" s="168">
        <f t="shared" ca="1" si="43"/>
        <v>0</v>
      </c>
      <c r="T94" s="168">
        <f t="shared" ca="1" si="44"/>
        <v>0</v>
      </c>
      <c r="U94" s="168">
        <f t="shared" ca="1" si="45"/>
        <v>0</v>
      </c>
    </row>
    <row r="95" spans="1:21" x14ac:dyDescent="0.4">
      <c r="A95" s="168">
        <f t="shared" si="31"/>
        <v>78</v>
      </c>
      <c r="B95" s="168">
        <f t="shared" si="46"/>
        <v>97</v>
      </c>
      <c r="C95" s="168">
        <f ca="1">IFERROR(MIN(VLOOKUP(B95,INDIRECT("mort_alb_"&amp;Cover!$J$4),IF(Sex="M",2,3))/1000,1)*Mort_Int,"")</f>
        <v>0.17768320000000004</v>
      </c>
      <c r="D95" s="168">
        <f t="shared" ca="1" si="32"/>
        <v>3.6085918622529092E-2</v>
      </c>
      <c r="E95" s="168">
        <f t="shared" ca="1" si="33"/>
        <v>0.20309133684292652</v>
      </c>
      <c r="F95" s="168">
        <f t="shared" ca="1" si="34"/>
        <v>3.2092160609041563E-3</v>
      </c>
      <c r="G95" s="168">
        <f t="shared" ca="1" si="35"/>
        <v>1.8512985259308473E-2</v>
      </c>
      <c r="H95" s="168">
        <f t="shared" si="36"/>
        <v>0</v>
      </c>
      <c r="I95" s="168">
        <f t="shared" si="37"/>
        <v>1.19</v>
      </c>
      <c r="J95" s="168">
        <f>IFERROR(IF(B95&lt;=Age+B,IF(AND(B95&gt;=Begin_Age,B95&lt;End_Age),GB_rate,0),""),"")</f>
        <v>0</v>
      </c>
      <c r="K95" s="168">
        <f t="shared" si="38"/>
        <v>0</v>
      </c>
      <c r="L95" s="168">
        <f t="shared" si="39"/>
        <v>1190</v>
      </c>
      <c r="M95" s="168">
        <f>IFERROR(IF(B95&lt;=Age+B,J95*Face_Amt*(End_Age-B95-1),""),"")</f>
        <v>0</v>
      </c>
      <c r="N95" s="168">
        <f ca="1">IFERROR(IF(B95&lt;=Age+B,MAX(MIN(A95,PPP)*Gross_Premium,CV!Z96+L96)*K95,""),"")</f>
        <v>0</v>
      </c>
      <c r="O95" s="171" cm="1">
        <f t="array" ref="O95">IFERROR(IF(B95&lt;=Age+B,VLOOKUP(IF(PPP&lt;20,PPP,"20+"),Exp_load_Prem,_xlfn.IFS(A95=1,1,A95=2,2,A95=3,3,OR(A95=4,A95=5),4,AND(A95&gt;=6,A95&lt;=10),5,AND(A95&gt;=11,A95&lt;=PPP),6,A95&gt;PPP,7)+1,FALSE),""),"")</f>
        <v>0</v>
      </c>
      <c r="P95" s="168">
        <f t="shared" ca="1" si="40"/>
        <v>0</v>
      </c>
      <c r="Q95" s="168">
        <f t="shared" ca="1" si="41"/>
        <v>22.030452458577084</v>
      </c>
      <c r="R95" s="168">
        <f t="shared" ca="1" si="42"/>
        <v>0</v>
      </c>
      <c r="S95" s="168">
        <f t="shared" ca="1" si="43"/>
        <v>0</v>
      </c>
      <c r="T95" s="168">
        <f t="shared" ca="1" si="44"/>
        <v>0</v>
      </c>
      <c r="U95" s="168">
        <f t="shared" ca="1" si="45"/>
        <v>0</v>
      </c>
    </row>
    <row r="96" spans="1:21" x14ac:dyDescent="0.4">
      <c r="A96" s="168">
        <f t="shared" si="31"/>
        <v>79</v>
      </c>
      <c r="B96" s="168">
        <f t="shared" si="46"/>
        <v>98</v>
      </c>
      <c r="C96" s="168">
        <f ca="1">IFERROR(MIN(VLOOKUP(B96,INDIRECT("mort_alb_"&amp;Cover!$J$4),IF(Sex="M",2,3))/1000,1)*Mort_Int,"")</f>
        <v>0.19698320000000002</v>
      </c>
      <c r="D96" s="168">
        <f t="shared" ca="1" si="32"/>
        <v>3.2897261698392195E-2</v>
      </c>
      <c r="E96" s="168">
        <f t="shared" ca="1" si="33"/>
        <v>0.16700541822039744</v>
      </c>
      <c r="F96" s="168">
        <f t="shared" ca="1" si="34"/>
        <v>2.8542832956896234E-3</v>
      </c>
      <c r="G96" s="168">
        <f t="shared" ca="1" si="35"/>
        <v>1.4852232972567525E-2</v>
      </c>
      <c r="H96" s="168">
        <f t="shared" si="36"/>
        <v>0</v>
      </c>
      <c r="I96" s="168">
        <f t="shared" si="37"/>
        <v>1.19</v>
      </c>
      <c r="J96" s="168">
        <f>IFERROR(IF(B96&lt;=Age+B,IF(AND(B96&gt;=Begin_Age,B96&lt;End_Age),GB_rate,0),""),"")</f>
        <v>0</v>
      </c>
      <c r="K96" s="168">
        <f t="shared" si="38"/>
        <v>0</v>
      </c>
      <c r="L96" s="168">
        <f t="shared" si="39"/>
        <v>1190</v>
      </c>
      <c r="M96" s="168">
        <f>IFERROR(IF(B96&lt;=Age+B,J96*Face_Amt*(End_Age-B96-1),""),"")</f>
        <v>0</v>
      </c>
      <c r="N96" s="168">
        <f ca="1">IFERROR(IF(B96&lt;=Age+B,MAX(MIN(A96,PPP)*Gross_Premium,CV!Z97+L97)*K96,""),"")</f>
        <v>0</v>
      </c>
      <c r="O96" s="171" cm="1">
        <f t="array" ref="O96">IFERROR(IF(B96&lt;=Age+B,VLOOKUP(IF(PPP&lt;20,PPP,"20+"),Exp_load_Prem,_xlfn.IFS(A96=1,1,A96=2,2,A96=3,3,OR(A96=4,A96=5),4,AND(A96&gt;=6,A96&lt;=10),5,AND(A96&gt;=11,A96&lt;=PPP),6,A96&gt;PPP,7)+1,FALSE),""),"")</f>
        <v>0</v>
      </c>
      <c r="P96" s="168">
        <f t="shared" ca="1" si="40"/>
        <v>0</v>
      </c>
      <c r="Q96" s="168">
        <f t="shared" ca="1" si="41"/>
        <v>17.674157237355356</v>
      </c>
      <c r="R96" s="168">
        <f t="shared" ca="1" si="42"/>
        <v>0</v>
      </c>
      <c r="S96" s="168">
        <f t="shared" ca="1" si="43"/>
        <v>0</v>
      </c>
      <c r="T96" s="168">
        <f t="shared" ca="1" si="44"/>
        <v>0</v>
      </c>
      <c r="U96" s="168">
        <f t="shared" ca="1" si="45"/>
        <v>0</v>
      </c>
    </row>
    <row r="97" spans="1:21" x14ac:dyDescent="0.4">
      <c r="A97" s="168">
        <f t="shared" si="31"/>
        <v>80</v>
      </c>
      <c r="B97" s="168">
        <f t="shared" si="46"/>
        <v>99</v>
      </c>
      <c r="C97" s="168">
        <f ca="1">IFERROR(MIN(VLOOKUP(B97,INDIRECT("mort_alb_"&amp;Cover!$J$4),IF(Sex="M",2,3))/1000,1)*Mort_Int,"")</f>
        <v>0.21798880000000001</v>
      </c>
      <c r="D97" s="168">
        <f t="shared" ca="1" si="32"/>
        <v>2.92340761104441E-2</v>
      </c>
      <c r="E97" s="168">
        <f t="shared" ca="1" si="33"/>
        <v>0.13410815652200525</v>
      </c>
      <c r="F97" s="168">
        <f t="shared" ca="1" si="34"/>
        <v>2.4745876100043464E-3</v>
      </c>
      <c r="G97" s="168">
        <f t="shared" ca="1" si="35"/>
        <v>1.1635700092181135E-2</v>
      </c>
      <c r="H97" s="168">
        <f t="shared" si="36"/>
        <v>0</v>
      </c>
      <c r="I97" s="168">
        <f t="shared" si="37"/>
        <v>1.19</v>
      </c>
      <c r="J97" s="168">
        <f>IFERROR(IF(B97&lt;=Age+B,IF(AND(B97&gt;=Begin_Age,B97&lt;End_Age),GB_rate,0),""),"")</f>
        <v>0</v>
      </c>
      <c r="K97" s="168">
        <f t="shared" si="38"/>
        <v>0</v>
      </c>
      <c r="L97" s="168">
        <f t="shared" si="39"/>
        <v>1190</v>
      </c>
      <c r="M97" s="168">
        <f>IFERROR(IF(B97&lt;=Age+B,J97*Face_Amt*(End_Age-B97-1),""),"")</f>
        <v>0</v>
      </c>
      <c r="N97" s="168">
        <f ca="1">IFERROR(IF(B97&lt;=Age+B,MAX(MIN(A97,PPP)*Gross_Premium,CV!Z98+L98)*K97,""),"")</f>
        <v>0</v>
      </c>
      <c r="O97" s="171" cm="1">
        <f t="array" ref="O97">IFERROR(IF(B97&lt;=Age+B,VLOOKUP(IF(PPP&lt;20,PPP,"20+"),Exp_load_Prem,_xlfn.IFS(A97=1,1,A97=2,2,A97=3,3,OR(A97=4,A97=5),4,AND(A97&gt;=6,A97&lt;=10),5,AND(A97&gt;=11,A97&lt;=PPP),6,A97&gt;PPP,7)+1,FALSE),""),"")</f>
        <v>0</v>
      </c>
      <c r="P97" s="168">
        <f t="shared" ca="1" si="40"/>
        <v>0</v>
      </c>
      <c r="Q97" s="168">
        <f t="shared" ca="1" si="41"/>
        <v>13.84648310969555</v>
      </c>
      <c r="R97" s="168">
        <f t="shared" ca="1" si="42"/>
        <v>0</v>
      </c>
      <c r="S97" s="168">
        <f t="shared" ca="1" si="43"/>
        <v>0</v>
      </c>
      <c r="T97" s="168">
        <f t="shared" ca="1" si="44"/>
        <v>0</v>
      </c>
      <c r="U97" s="168">
        <f t="shared" ca="1" si="45"/>
        <v>0</v>
      </c>
    </row>
    <row r="98" spans="1:21" x14ac:dyDescent="0.4">
      <c r="A98" s="168">
        <f t="shared" si="31"/>
        <v>81</v>
      </c>
      <c r="B98" s="168">
        <f t="shared" si="46"/>
        <v>100</v>
      </c>
      <c r="C98" s="168">
        <f ca="1">IFERROR(MIN(VLOOKUP(B98,INDIRECT("mort_alb_"&amp;Cover!$J$4),IF(Sex="M",2,3))/1000,1)*Mort_Int,"")</f>
        <v>0.2407552</v>
      </c>
      <c r="D98" s="168">
        <f t="shared" ca="1" si="32"/>
        <v>2.524898020430149E-2</v>
      </c>
      <c r="E98" s="168">
        <f t="shared" ca="1" si="33"/>
        <v>0.10487408041156115</v>
      </c>
      <c r="F98" s="168">
        <f t="shared" ca="1" si="34"/>
        <v>2.085131442707785E-3</v>
      </c>
      <c r="G98" s="168">
        <f t="shared" ca="1" si="35"/>
        <v>8.877314918952859E-3</v>
      </c>
      <c r="H98" s="168">
        <f t="shared" si="36"/>
        <v>0</v>
      </c>
      <c r="I98" s="168">
        <f t="shared" si="37"/>
        <v>1.19</v>
      </c>
      <c r="J98" s="168">
        <f>IFERROR(IF(B98&lt;=Age+B,IF(AND(B98&gt;=Begin_Age,B98&lt;End_Age),GB_rate,0),""),"")</f>
        <v>0</v>
      </c>
      <c r="K98" s="168">
        <f t="shared" si="38"/>
        <v>0</v>
      </c>
      <c r="L98" s="168">
        <f t="shared" si="39"/>
        <v>1190</v>
      </c>
      <c r="M98" s="168">
        <f>IFERROR(IF(B98&lt;=Age+B,J98*Face_Amt*(End_Age-B98-1),""),"")</f>
        <v>0</v>
      </c>
      <c r="N98" s="168">
        <f ca="1">IFERROR(IF(B98&lt;=Age+B,MAX(MIN(A98,PPP)*Gross_Premium,CV!Z99+L99)*K98,""),"")</f>
        <v>0</v>
      </c>
      <c r="O98" s="171" cm="1">
        <f t="array" ref="O98">IFERROR(IF(B98&lt;=Age+B,VLOOKUP(IF(PPP&lt;20,PPP,"20+"),Exp_load_Prem,_xlfn.IFS(A98=1,1,A98=2,2,A98=3,3,OR(A98=4,A98=5),4,AND(A98&gt;=6,A98&lt;=10),5,AND(A98&gt;=11,A98&lt;=PPP),6,A98&gt;PPP,7)+1,FALSE),""),"")</f>
        <v>0</v>
      </c>
      <c r="P98" s="168">
        <f t="shared" ca="1" si="40"/>
        <v>0</v>
      </c>
      <c r="Q98" s="168">
        <f t="shared" ca="1" si="41"/>
        <v>10.564004753553903</v>
      </c>
      <c r="R98" s="168">
        <f t="shared" ca="1" si="42"/>
        <v>0</v>
      </c>
      <c r="S98" s="168">
        <f t="shared" ca="1" si="43"/>
        <v>0</v>
      </c>
      <c r="T98" s="168">
        <f t="shared" ca="1" si="44"/>
        <v>0</v>
      </c>
      <c r="U98" s="168">
        <f t="shared" ca="1" si="45"/>
        <v>0</v>
      </c>
    </row>
    <row r="99" spans="1:21" x14ac:dyDescent="0.4">
      <c r="A99" s="168">
        <f t="shared" si="31"/>
        <v>82</v>
      </c>
      <c r="B99" s="168">
        <f t="shared" si="46"/>
        <v>101</v>
      </c>
      <c r="C99" s="168">
        <f ca="1">IFERROR(MIN(VLOOKUP(B99,INDIRECT("mort_alb_"&amp;Cover!$J$4),IF(Sex="M",2,3))/1000,1)*Mort_Int,"")</f>
        <v>0.26531359999999998</v>
      </c>
      <c r="D99" s="168">
        <f t="shared" ca="1" si="32"/>
        <v>2.1125621986348805E-2</v>
      </c>
      <c r="E99" s="168">
        <f t="shared" ca="1" si="33"/>
        <v>7.9625100207259658E-2</v>
      </c>
      <c r="F99" s="168">
        <f t="shared" ca="1" si="34"/>
        <v>1.7020614460008525E-3</v>
      </c>
      <c r="G99" s="168">
        <f t="shared" ca="1" si="35"/>
        <v>6.5756636001730526E-3</v>
      </c>
      <c r="H99" s="168">
        <f t="shared" si="36"/>
        <v>0</v>
      </c>
      <c r="I99" s="168">
        <f t="shared" si="37"/>
        <v>1.19</v>
      </c>
      <c r="J99" s="168">
        <f>IFERROR(IF(B99&lt;=Age+B,IF(AND(B99&gt;=Begin_Age,B99&lt;End_Age),GB_rate,0),""),"")</f>
        <v>0</v>
      </c>
      <c r="K99" s="168">
        <f t="shared" si="38"/>
        <v>0</v>
      </c>
      <c r="L99" s="168">
        <f t="shared" si="39"/>
        <v>1190</v>
      </c>
      <c r="M99" s="168">
        <f>IFERROR(IF(B99&lt;=Age+B,J99*Face_Amt*(End_Age-B99-1),""),"")</f>
        <v>0</v>
      </c>
      <c r="N99" s="168">
        <f ca="1">IFERROR(IF(B99&lt;=Age+B,MAX(MIN(A99,PPP)*Gross_Premium,CV!Z100+L100)*K99,""),"")</f>
        <v>0</v>
      </c>
      <c r="O99" s="171" cm="1">
        <f t="array" ref="O99">IFERROR(IF(B99&lt;=Age+B,VLOOKUP(IF(PPP&lt;20,PPP,"20+"),Exp_load_Prem,_xlfn.IFS(A99=1,1,A99=2,2,A99=3,3,OR(A99=4,A99=5),4,AND(A99&gt;=6,A99&lt;=10),5,AND(A99&gt;=11,A99&lt;=PPP),6,A99&gt;PPP,7)+1,FALSE),""),"")</f>
        <v>0</v>
      </c>
      <c r="P99" s="168">
        <f t="shared" ca="1" si="40"/>
        <v>0</v>
      </c>
      <c r="Q99" s="168">
        <f t="shared" ca="1" si="41"/>
        <v>7.8250396842059322</v>
      </c>
      <c r="R99" s="168">
        <f t="shared" ca="1" si="42"/>
        <v>0</v>
      </c>
      <c r="S99" s="168">
        <f t="shared" ca="1" si="43"/>
        <v>0</v>
      </c>
      <c r="T99" s="168">
        <f t="shared" ca="1" si="44"/>
        <v>0</v>
      </c>
      <c r="U99" s="168">
        <f t="shared" ca="1" si="45"/>
        <v>0</v>
      </c>
    </row>
    <row r="100" spans="1:21" x14ac:dyDescent="0.4">
      <c r="A100" s="168">
        <f t="shared" si="31"/>
        <v>83</v>
      </c>
      <c r="B100" s="168">
        <f t="shared" si="46"/>
        <v>102</v>
      </c>
      <c r="C100" s="168">
        <f ca="1">IFERROR(MIN(VLOOKUP(B100,INDIRECT("mort_alb_"&amp;Cover!$J$4),IF(Sex="M",2,3))/1000,1)*Mort_Int,"")</f>
        <v>0.29166560000000002</v>
      </c>
      <c r="D100" s="168">
        <f t="shared" ca="1" si="32"/>
        <v>1.7062285414988897E-2</v>
      </c>
      <c r="E100" s="168">
        <f t="shared" ca="1" si="33"/>
        <v>5.8499478220910853E-2</v>
      </c>
      <c r="F100" s="168">
        <f t="shared" ca="1" si="34"/>
        <v>1.3411552905516337E-3</v>
      </c>
      <c r="G100" s="168">
        <f t="shared" ca="1" si="35"/>
        <v>4.7132201151435914E-3</v>
      </c>
      <c r="H100" s="168">
        <f t="shared" si="36"/>
        <v>0</v>
      </c>
      <c r="I100" s="168">
        <f t="shared" si="37"/>
        <v>1.19</v>
      </c>
      <c r="J100" s="168">
        <f>IFERROR(IF(B100&lt;=Age+B,IF(AND(B100&gt;=Begin_Age,B100&lt;End_Age),GB_rate,0),""),"")</f>
        <v>0</v>
      </c>
      <c r="K100" s="168">
        <f t="shared" si="38"/>
        <v>0</v>
      </c>
      <c r="L100" s="168">
        <f t="shared" si="39"/>
        <v>1190</v>
      </c>
      <c r="M100" s="168">
        <f>IFERROR(IF(B100&lt;=Age+B,J100*Face_Amt*(End_Age-B100-1),""),"")</f>
        <v>0</v>
      </c>
      <c r="N100" s="168">
        <f ca="1">IFERROR(IF(B100&lt;=Age+B,MAX(MIN(A100,PPP)*Gross_Premium,CV!Z101+L101)*K100,""),"")</f>
        <v>0</v>
      </c>
      <c r="O100" s="171" cm="1">
        <f t="array" ref="O100">IFERROR(IF(B100&lt;=Age+B,VLOOKUP(IF(PPP&lt;20,PPP,"20+"),Exp_load_Prem,_xlfn.IFS(A100=1,1,A100=2,2,A100=3,3,OR(A100=4,A100=5),4,AND(A100&gt;=6,A100&lt;=10),5,AND(A100&gt;=11,A100&lt;=PPP),6,A100&gt;PPP,7)+1,FALSE),""),"")</f>
        <v>0</v>
      </c>
      <c r="P100" s="168">
        <f t="shared" ca="1" si="40"/>
        <v>0</v>
      </c>
      <c r="Q100" s="168">
        <f t="shared" ca="1" si="41"/>
        <v>5.6087319370208739</v>
      </c>
      <c r="R100" s="168">
        <f t="shared" ca="1" si="42"/>
        <v>0</v>
      </c>
      <c r="S100" s="168">
        <f t="shared" ca="1" si="43"/>
        <v>0</v>
      </c>
      <c r="T100" s="168">
        <f t="shared" ca="1" si="44"/>
        <v>0</v>
      </c>
      <c r="U100" s="168">
        <f t="shared" ca="1" si="45"/>
        <v>0</v>
      </c>
    </row>
    <row r="101" spans="1:21" x14ac:dyDescent="0.4">
      <c r="A101" s="168">
        <f t="shared" si="31"/>
        <v>84</v>
      </c>
      <c r="B101" s="168">
        <f t="shared" si="46"/>
        <v>103</v>
      </c>
      <c r="C101" s="168">
        <f ca="1">IFERROR(MIN(VLOOKUP(B101,INDIRECT("mort_alb_"&amp;Cover!$J$4),IF(Sex="M",2,3))/1000,1)*Mort_Int,"")</f>
        <v>0.319772</v>
      </c>
      <c r="D101" s="168">
        <f t="shared" ca="1" si="32"/>
        <v>1.3250454017935275E-2</v>
      </c>
      <c r="E101" s="168">
        <f t="shared" ca="1" si="33"/>
        <v>4.1437192805921952E-2</v>
      </c>
      <c r="F101" s="168">
        <f t="shared" ca="1" si="34"/>
        <v>1.0161287950983104E-3</v>
      </c>
      <c r="G101" s="168">
        <f t="shared" ca="1" si="35"/>
        <v>3.257108236417723E-3</v>
      </c>
      <c r="H101" s="168">
        <f t="shared" si="36"/>
        <v>0</v>
      </c>
      <c r="I101" s="168">
        <f t="shared" si="37"/>
        <v>1.19</v>
      </c>
      <c r="J101" s="168">
        <f>IFERROR(IF(B101&lt;=Age+B,IF(AND(B101&gt;=Begin_Age,B101&lt;End_Age),GB_rate,0),""),"")</f>
        <v>0</v>
      </c>
      <c r="K101" s="168">
        <f t="shared" si="38"/>
        <v>0</v>
      </c>
      <c r="L101" s="168">
        <f t="shared" si="39"/>
        <v>1190</v>
      </c>
      <c r="M101" s="168">
        <f>IFERROR(IF(B101&lt;=Age+B,J101*Face_Amt*(End_Age-B101-1),""),"")</f>
        <v>0</v>
      </c>
      <c r="N101" s="168">
        <f ca="1">IFERROR(IF(B101&lt;=Age+B,MAX(MIN(A101,PPP)*Gross_Premium,CV!Z102+L102)*K101,""),"")</f>
        <v>0</v>
      </c>
      <c r="O101" s="171" cm="1">
        <f t="array" ref="O101">IFERROR(IF(B101&lt;=Age+B,VLOOKUP(IF(PPP&lt;20,PPP,"20+"),Exp_load_Prem,_xlfn.IFS(A101=1,1,A101=2,2,A101=3,3,OR(A101=4,A101=5),4,AND(A101&gt;=6,A101&lt;=10),5,AND(A101&gt;=11,A101&lt;=PPP),6,A101&gt;PPP,7)+1,FALSE),""),"")</f>
        <v>0</v>
      </c>
      <c r="P101" s="168">
        <f t="shared" ca="1" si="40"/>
        <v>0</v>
      </c>
      <c r="Q101" s="168">
        <f t="shared" ca="1" si="41"/>
        <v>3.8759588013370903</v>
      </c>
      <c r="R101" s="168">
        <f t="shared" ca="1" si="42"/>
        <v>0</v>
      </c>
      <c r="S101" s="168">
        <f t="shared" ca="1" si="43"/>
        <v>0</v>
      </c>
      <c r="T101" s="168">
        <f t="shared" ca="1" si="44"/>
        <v>0</v>
      </c>
      <c r="U101" s="168">
        <f t="shared" ca="1" si="45"/>
        <v>0</v>
      </c>
    </row>
    <row r="102" spans="1:21" x14ac:dyDescent="0.4">
      <c r="A102" s="168">
        <f t="shared" si="31"/>
        <v>85</v>
      </c>
      <c r="B102" s="168">
        <f t="shared" si="46"/>
        <v>104</v>
      </c>
      <c r="C102" s="168">
        <f ca="1">IFERROR(MIN(VLOOKUP(B102,INDIRECT("mort_alb_"&amp;Cover!$J$4),IF(Sex="M",2,3))/1000,1)*Mort_Int,"")</f>
        <v>0.34715040000000003</v>
      </c>
      <c r="D102" s="168">
        <f t="shared" ca="1" si="32"/>
        <v>9.785037644945092E-3</v>
      </c>
      <c r="E102" s="168">
        <f t="shared" ca="1" si="33"/>
        <v>2.8186738787986679E-2</v>
      </c>
      <c r="F102" s="168">
        <f t="shared" ca="1" si="34"/>
        <v>7.3207678429893007E-4</v>
      </c>
      <c r="G102" s="168">
        <f t="shared" ca="1" si="35"/>
        <v>2.1615377770165417E-3</v>
      </c>
      <c r="H102" s="168">
        <f t="shared" si="36"/>
        <v>0</v>
      </c>
      <c r="I102" s="168">
        <f t="shared" si="37"/>
        <v>1.19</v>
      </c>
      <c r="J102" s="168">
        <f>IFERROR(IF(B102&lt;=Age+B,IF(AND(B102&gt;=Begin_Age,B102&lt;End_Age),GB_rate,0),""),"")</f>
        <v>0</v>
      </c>
      <c r="K102" s="168">
        <f t="shared" si="38"/>
        <v>0</v>
      </c>
      <c r="L102" s="168">
        <f t="shared" si="39"/>
        <v>1190</v>
      </c>
      <c r="M102" s="168">
        <f>IFERROR(IF(B102&lt;=Age+B,J102*Face_Amt*(End_Age-B102-1),""),"")</f>
        <v>0</v>
      </c>
      <c r="N102" s="168">
        <f ca="1">IFERROR(IF(B102&lt;=Age+B,MAX(MIN(A102,PPP)*Gross_Premium,CV!Z103+L103)*K102,""),"")</f>
        <v>0</v>
      </c>
      <c r="O102" s="171" cm="1">
        <f t="array" ref="O102">IFERROR(IF(B102&lt;=Age+B,VLOOKUP(IF(PPP&lt;20,PPP,"20+"),Exp_load_Prem,_xlfn.IFS(A102=1,1,A102=2,2,A102=3,3,OR(A102=4,A102=5),4,AND(A102&gt;=6,A102&lt;=10),5,AND(A102&gt;=11,A102&lt;=PPP),6,A102&gt;PPP,7)+1,FALSE),""),"")</f>
        <v>0</v>
      </c>
      <c r="P102" s="168">
        <f t="shared" ca="1" si="40"/>
        <v>0</v>
      </c>
      <c r="Q102" s="168">
        <f t="shared" ca="1" si="41"/>
        <v>2.5722299546496847</v>
      </c>
      <c r="R102" s="168">
        <f t="shared" ca="1" si="42"/>
        <v>0</v>
      </c>
      <c r="S102" s="168">
        <f t="shared" ca="1" si="43"/>
        <v>0</v>
      </c>
      <c r="T102" s="168">
        <f t="shared" ca="1" si="44"/>
        <v>0</v>
      </c>
      <c r="U102" s="168">
        <f t="shared" ca="1" si="45"/>
        <v>0</v>
      </c>
    </row>
    <row r="103" spans="1:21" x14ac:dyDescent="0.4">
      <c r="A103" s="168">
        <f t="shared" si="31"/>
        <v>86</v>
      </c>
      <c r="B103" s="168">
        <f t="shared" si="46"/>
        <v>105</v>
      </c>
      <c r="C103" s="168">
        <f ca="1">IFERROR(MIN(VLOOKUP(B103,INDIRECT("mort_alb_"&amp;Cover!$J$4),IF(Sex="M",2,3))/1000,1)*Mort_Int,"")</f>
        <v>0.8</v>
      </c>
      <c r="D103" s="168">
        <f t="shared" ca="1" si="32"/>
        <v>1.4721360914433268E-2</v>
      </c>
      <c r="E103" s="168">
        <f t="shared" ca="1" si="33"/>
        <v>1.8401701143041585E-2</v>
      </c>
      <c r="F103" s="168">
        <f t="shared" ca="1" si="34"/>
        <v>1.0745292168833889E-3</v>
      </c>
      <c r="G103" s="168">
        <f t="shared" ca="1" si="35"/>
        <v>1.3767405591318422E-3</v>
      </c>
      <c r="H103" s="168">
        <f t="shared" si="36"/>
        <v>0</v>
      </c>
      <c r="I103" s="168">
        <f t="shared" si="37"/>
        <v>1.19</v>
      </c>
      <c r="J103" s="168">
        <f>IFERROR(IF(B103&lt;=Age+B,IF(AND(B103&gt;=Begin_Age,B103&lt;End_Age),GB_rate,0),""),"")</f>
        <v>0</v>
      </c>
      <c r="K103" s="168">
        <f t="shared" si="38"/>
        <v>0</v>
      </c>
      <c r="L103" s="168">
        <f t="shared" si="39"/>
        <v>1190</v>
      </c>
      <c r="M103" s="168">
        <f>IFERROR(IF(B103&lt;=Age+B,J103*Face_Amt*(End_Age-B103-1),""),"")</f>
        <v>0</v>
      </c>
      <c r="N103" s="168" t="str">
        <f ca="1">IFERROR(IF(B103&lt;=Age+B,MAX(MIN(A103,PPP)*Gross_Premium,CV!Z104+L104)*K103,""),"")</f>
        <v/>
      </c>
      <c r="O103" s="171" cm="1">
        <f t="array" ref="O103">IFERROR(IF(B103&lt;=Age+B,VLOOKUP(IF(PPP&lt;20,PPP,"20+"),Exp_load_Prem,_xlfn.IFS(A103=1,1,A103=2,2,A103=3,3,OR(A103=4,A103=5),4,AND(A103&gt;=6,A103&lt;=10),5,AND(A103&gt;=11,A103&lt;=PPP),6,A103&gt;PPP,7)+1,FALSE),""),"")</f>
        <v>0</v>
      </c>
      <c r="P103" s="168" t="str">
        <f t="shared" ca="1" si="40"/>
        <v/>
      </c>
      <c r="Q103" s="168">
        <f t="shared" ca="1" si="41"/>
        <v>1.6383212653668922</v>
      </c>
      <c r="R103" s="168">
        <f t="shared" ca="1" si="42"/>
        <v>0</v>
      </c>
      <c r="S103" s="168">
        <f t="shared" ca="1" si="43"/>
        <v>0</v>
      </c>
      <c r="T103" s="168">
        <f t="shared" ca="1" si="44"/>
        <v>0</v>
      </c>
      <c r="U103" s="168">
        <f t="shared" ca="1" si="45"/>
        <v>0</v>
      </c>
    </row>
    <row r="104" spans="1:21" x14ac:dyDescent="0.4">
      <c r="A104" s="168" t="str">
        <f t="shared" si="31"/>
        <v/>
      </c>
      <c r="B104" s="168" t="str">
        <f t="shared" si="46"/>
        <v/>
      </c>
      <c r="C104" s="168" t="str">
        <f ca="1">IFERROR(MIN(VLOOKUP(B104,INDIRECT("mort_alb_"&amp;Cover!$J$4),IF(Sex="M",2,3))/1000,1)*Mort_Int,"")</f>
        <v/>
      </c>
      <c r="D104" s="168" t="str">
        <f t="shared" ca="1" si="32"/>
        <v/>
      </c>
      <c r="E104" s="168" t="str">
        <f t="shared" si="33"/>
        <v/>
      </c>
      <c r="F104" s="168" t="str">
        <f t="shared" ca="1" si="34"/>
        <v/>
      </c>
      <c r="G104" s="168" t="str">
        <f t="shared" si="35"/>
        <v/>
      </c>
      <c r="H104" s="168" t="str">
        <f t="shared" si="36"/>
        <v/>
      </c>
      <c r="I104" s="168" t="str">
        <f t="shared" si="37"/>
        <v/>
      </c>
      <c r="J104" s="168" t="str">
        <f>IFERROR(IF(B104&lt;=Age+B,IF(AND(B104&gt;=Begin_Age,B104&lt;End_Age),GB_rate,0),""),"")</f>
        <v/>
      </c>
      <c r="K104" s="168" t="str">
        <f t="shared" si="38"/>
        <v/>
      </c>
      <c r="L104" s="168" t="str">
        <f t="shared" si="39"/>
        <v/>
      </c>
      <c r="M104" s="168" t="str">
        <f>IFERROR(IF(B104&lt;=Age+B,J104*Face_Amt*(End_Age-B104-1),""),"")</f>
        <v/>
      </c>
      <c r="N104" s="168" t="str">
        <f>IFERROR(IF(B104&lt;=Age+B,MAX(MIN(A104,PPP)*Gross_Premium,CV!Z105+L105)*K104,""),"")</f>
        <v/>
      </c>
      <c r="O104" s="171" t="str" cm="1">
        <f t="array" ref="O104">IFERROR(IF(B104&lt;=Age+B,VLOOKUP(IF(PPP&lt;20,PPP,"20+"),Exp_load_Prem,_xlfn.IFS(A104=1,1,A104=2,2,A104=3,3,OR(A104=4,A104=5),4,AND(A104&gt;=6,A104&lt;=10),5,AND(A104&gt;=11,A104&lt;=PPP),6,A104&gt;PPP,7)+1,FALSE),""),"")</f>
        <v/>
      </c>
      <c r="P104" s="168" t="str">
        <f t="shared" si="40"/>
        <v/>
      </c>
      <c r="Q104" s="168" t="str">
        <f t="shared" si="41"/>
        <v/>
      </c>
      <c r="R104" s="168" t="str">
        <f t="shared" si="42"/>
        <v/>
      </c>
      <c r="S104" s="168" t="str">
        <f t="shared" si="43"/>
        <v/>
      </c>
      <c r="T104" s="168" t="str">
        <f t="shared" si="44"/>
        <v/>
      </c>
      <c r="U104" s="168" t="str">
        <f t="shared" si="45"/>
        <v/>
      </c>
    </row>
    <row r="105" spans="1:21" x14ac:dyDescent="0.4">
      <c r="A105" s="168" t="str">
        <f t="shared" si="31"/>
        <v/>
      </c>
      <c r="B105" s="168" t="str">
        <f t="shared" si="46"/>
        <v/>
      </c>
      <c r="C105" s="168" t="str">
        <f ca="1">IFERROR(MIN(VLOOKUP(B105,INDIRECT("mort_alb_"&amp;Cover!$J$4),IF(Sex="M",2,3))/1000,1)*Mort_Int,"")</f>
        <v/>
      </c>
      <c r="D105" s="168" t="str">
        <f t="shared" ca="1" si="32"/>
        <v/>
      </c>
      <c r="E105" s="168" t="str">
        <f t="shared" si="33"/>
        <v/>
      </c>
      <c r="F105" s="168" t="str">
        <f t="shared" ca="1" si="34"/>
        <v/>
      </c>
      <c r="G105" s="168" t="str">
        <f t="shared" si="35"/>
        <v/>
      </c>
      <c r="H105" s="168" t="str">
        <f t="shared" si="36"/>
        <v/>
      </c>
      <c r="I105" s="168" t="str">
        <f t="shared" si="37"/>
        <v/>
      </c>
      <c r="J105" s="168" t="str">
        <f>IFERROR(IF(B105&lt;=Age+B,IF(AND(B105&gt;=Begin_Age,B105&lt;End_Age),GB_rate,0),""),"")</f>
        <v/>
      </c>
      <c r="K105" s="168" t="str">
        <f t="shared" si="38"/>
        <v/>
      </c>
      <c r="L105" s="168" t="str">
        <f t="shared" si="39"/>
        <v/>
      </c>
      <c r="M105" s="168" t="str">
        <f>IFERROR(IF(B105&lt;=Age+B,J105*Face_Amt*(End_Age-B105-1),""),"")</f>
        <v/>
      </c>
      <c r="N105" s="168" t="str">
        <f>IFERROR(IF(B105&lt;=Age+B,MAX(MIN(A105,PPP)*Gross_Premium,CV!Z106+L106)*K105,""),"")</f>
        <v/>
      </c>
      <c r="O105" s="171" t="str" cm="1">
        <f t="array" ref="O105">IFERROR(IF(B105&lt;=Age+B,VLOOKUP(IF(PPP&lt;20,PPP,"20+"),Exp_load_Prem,_xlfn.IFS(A105=1,1,A105=2,2,A105=3,3,OR(A105=4,A105=5),4,AND(A105&gt;=6,A105&lt;=10),5,AND(A105&gt;=11,A105&lt;=PPP),6,A105&gt;PPP,7)+1,FALSE),""),"")</f>
        <v/>
      </c>
      <c r="P105" s="168" t="str">
        <f t="shared" si="40"/>
        <v/>
      </c>
      <c r="Q105" s="168" t="str">
        <f t="shared" si="41"/>
        <v/>
      </c>
      <c r="R105" s="168" t="str">
        <f t="shared" si="42"/>
        <v/>
      </c>
      <c r="S105" s="168" t="str">
        <f t="shared" si="43"/>
        <v/>
      </c>
      <c r="T105" s="168" t="str">
        <f t="shared" si="44"/>
        <v/>
      </c>
      <c r="U105" s="168" t="str">
        <f t="shared" si="45"/>
        <v/>
      </c>
    </row>
    <row r="106" spans="1:21" x14ac:dyDescent="0.4">
      <c r="A106" s="168" t="str">
        <f t="shared" si="31"/>
        <v/>
      </c>
      <c r="B106" s="168" t="str">
        <f t="shared" si="46"/>
        <v/>
      </c>
      <c r="C106" s="168" t="str">
        <f ca="1">IFERROR(MIN(VLOOKUP(B106,INDIRECT("mort_alb_"&amp;Cover!$J$4),IF(Sex="M",2,3))/1000,1)*Mort_Int,"")</f>
        <v/>
      </c>
      <c r="D106" s="168" t="str">
        <f t="shared" ca="1" si="32"/>
        <v/>
      </c>
      <c r="E106" s="168" t="str">
        <f t="shared" si="33"/>
        <v/>
      </c>
      <c r="F106" s="168" t="str">
        <f t="shared" ca="1" si="34"/>
        <v/>
      </c>
      <c r="G106" s="168" t="str">
        <f t="shared" si="35"/>
        <v/>
      </c>
      <c r="H106" s="168" t="str">
        <f t="shared" si="36"/>
        <v/>
      </c>
      <c r="I106" s="168" t="str">
        <f t="shared" si="37"/>
        <v/>
      </c>
      <c r="J106" s="168" t="str">
        <f>IFERROR(IF(B106&lt;=Age+B,IF(AND(B106&gt;=Begin_Age,B106&lt;End_Age),GB_rate,0),""),"")</f>
        <v/>
      </c>
      <c r="K106" s="168" t="str">
        <f t="shared" si="38"/>
        <v/>
      </c>
      <c r="L106" s="168" t="str">
        <f t="shared" si="39"/>
        <v/>
      </c>
      <c r="M106" s="168" t="str">
        <f>IFERROR(IF(B106&lt;=Age+B,J106*Face_Amt*(End_Age-B106-1),""),"")</f>
        <v/>
      </c>
      <c r="N106" s="168" t="str">
        <f>IFERROR(IF(B106&lt;=Age+B,MAX(MIN(A106,PPP)*Gross_Premium,CV!Z107+L107)*K106,""),"")</f>
        <v/>
      </c>
      <c r="O106" s="171" t="str" cm="1">
        <f t="array" ref="O106">IFERROR(IF(B106&lt;=Age+B,VLOOKUP(IF(PPP&lt;20,PPP,"20+"),Exp_load_Prem,_xlfn.IFS(A106=1,1,A106=2,2,A106=3,3,OR(A106=4,A106=5),4,AND(A106&gt;=6,A106&lt;=10),5,AND(A106&gt;=11,A106&lt;=PPP),6,A106&gt;PPP,7)+1,FALSE),""),"")</f>
        <v/>
      </c>
      <c r="P106" s="168" t="str">
        <f t="shared" si="40"/>
        <v/>
      </c>
      <c r="Q106" s="168" t="str">
        <f t="shared" si="41"/>
        <v/>
      </c>
      <c r="R106" s="168" t="str">
        <f t="shared" si="42"/>
        <v/>
      </c>
      <c r="S106" s="168" t="str">
        <f t="shared" si="43"/>
        <v/>
      </c>
      <c r="T106" s="168" t="str">
        <f t="shared" si="44"/>
        <v/>
      </c>
      <c r="U106" s="168" t="str">
        <f t="shared" si="45"/>
        <v/>
      </c>
    </row>
    <row r="107" spans="1:21" x14ac:dyDescent="0.4">
      <c r="A107" s="168" t="str">
        <f t="shared" si="31"/>
        <v/>
      </c>
      <c r="B107" s="168" t="str">
        <f t="shared" si="46"/>
        <v/>
      </c>
      <c r="C107" s="168" t="str">
        <f ca="1">IFERROR(MIN(VLOOKUP(B107,INDIRECT("mort_alb_"&amp;Cover!$J$4),IF(Sex="M",2,3))/1000,1)*Mort_Int,"")</f>
        <v/>
      </c>
      <c r="D107" s="168" t="str">
        <f t="shared" ca="1" si="32"/>
        <v/>
      </c>
      <c r="E107" s="168" t="str">
        <f t="shared" si="33"/>
        <v/>
      </c>
      <c r="F107" s="168" t="str">
        <f t="shared" ca="1" si="34"/>
        <v/>
      </c>
      <c r="G107" s="168" t="str">
        <f t="shared" si="35"/>
        <v/>
      </c>
      <c r="H107" s="168" t="str">
        <f t="shared" si="36"/>
        <v/>
      </c>
      <c r="I107" s="168" t="str">
        <f t="shared" si="37"/>
        <v/>
      </c>
      <c r="J107" s="168" t="str">
        <f>IFERROR(IF(B107&lt;=Age+B,IF(AND(B107&gt;=Begin_Age,B107&lt;End_Age),GB_rate,0),""),"")</f>
        <v/>
      </c>
      <c r="K107" s="168" t="str">
        <f t="shared" si="38"/>
        <v/>
      </c>
      <c r="L107" s="168" t="str">
        <f t="shared" si="39"/>
        <v/>
      </c>
      <c r="M107" s="168" t="str">
        <f>IFERROR(IF(B107&lt;=Age+B,J107*Face_Amt*(End_Age-B107-1),""),"")</f>
        <v/>
      </c>
      <c r="N107" s="168" t="str">
        <f>IFERROR(IF(B107&lt;=Age+B,MAX(MIN(A107,PPP)*Gross_Premium,CV!Z108+L108)*K107,""),"")</f>
        <v/>
      </c>
      <c r="O107" s="171" t="str" cm="1">
        <f t="array" ref="O107">IFERROR(IF(B107&lt;=Age+B,VLOOKUP(IF(PPP&lt;20,PPP,"20+"),Exp_load_Prem,_xlfn.IFS(A107=1,1,A107=2,2,A107=3,3,OR(A107=4,A107=5),4,AND(A107&gt;=6,A107&lt;=10),5,AND(A107&gt;=11,A107&lt;=PPP),6,A107&gt;PPP,7)+1,FALSE),""),"")</f>
        <v/>
      </c>
      <c r="P107" s="168" t="str">
        <f t="shared" si="40"/>
        <v/>
      </c>
      <c r="Q107" s="168" t="str">
        <f t="shared" si="41"/>
        <v/>
      </c>
      <c r="R107" s="168" t="str">
        <f t="shared" si="42"/>
        <v/>
      </c>
      <c r="S107" s="168" t="str">
        <f t="shared" si="43"/>
        <v/>
      </c>
      <c r="T107" s="168" t="str">
        <f t="shared" si="44"/>
        <v/>
      </c>
      <c r="U107" s="168" t="str">
        <f t="shared" si="45"/>
        <v/>
      </c>
    </row>
    <row r="108" spans="1:21" x14ac:dyDescent="0.4">
      <c r="A108" s="168" t="str">
        <f t="shared" si="31"/>
        <v/>
      </c>
      <c r="B108" s="168" t="str">
        <f t="shared" si="46"/>
        <v/>
      </c>
      <c r="C108" s="168" t="str">
        <f ca="1">IFERROR(MIN(VLOOKUP(B108,INDIRECT("mort_alb_"&amp;Cover!$J$4),IF(Sex="M",2,3))/1000,1)*Mort_Int,"")</f>
        <v/>
      </c>
      <c r="D108" s="168" t="str">
        <f t="shared" ca="1" si="32"/>
        <v/>
      </c>
      <c r="E108" s="168" t="str">
        <f t="shared" si="33"/>
        <v/>
      </c>
      <c r="F108" s="168" t="str">
        <f t="shared" ca="1" si="34"/>
        <v/>
      </c>
      <c r="G108" s="168" t="str">
        <f t="shared" si="35"/>
        <v/>
      </c>
      <c r="H108" s="168" t="str">
        <f t="shared" si="36"/>
        <v/>
      </c>
      <c r="I108" s="168" t="str">
        <f t="shared" si="37"/>
        <v/>
      </c>
      <c r="J108" s="168" t="str">
        <f>IFERROR(IF(B108&lt;=Age+B,IF(AND(B108&gt;=Begin_Age,B108&lt;End_Age),GB_rate,0),""),"")</f>
        <v/>
      </c>
      <c r="K108" s="168" t="str">
        <f t="shared" si="38"/>
        <v/>
      </c>
      <c r="L108" s="168" t="str">
        <f t="shared" si="39"/>
        <v/>
      </c>
      <c r="M108" s="168" t="str">
        <f>IFERROR(IF(B108&lt;=Age+B,J108*Face_Amt*(End_Age-B108-1),""),"")</f>
        <v/>
      </c>
      <c r="N108" s="168" t="str">
        <f>IFERROR(IF(B108&lt;=Age+B,MAX(MIN(A108,PPP)*Gross_Premium,CV!Z109+L109)*K108,""),"")</f>
        <v/>
      </c>
      <c r="O108" s="171" t="str" cm="1">
        <f t="array" ref="O108">IFERROR(IF(B108&lt;=Age+B,VLOOKUP(IF(PPP&lt;20,PPP,"20+"),Exp_load_Prem,_xlfn.IFS(A108=1,1,A108=2,2,A108=3,3,OR(A108=4,A108=5),4,AND(A108&gt;=6,A108&lt;=10),5,AND(A108&gt;=11,A108&lt;=PPP),6,A108&gt;PPP,7)+1,FALSE),""),"")</f>
        <v/>
      </c>
      <c r="P108" s="168" t="str">
        <f t="shared" si="40"/>
        <v/>
      </c>
      <c r="Q108" s="168" t="str">
        <f t="shared" si="41"/>
        <v/>
      </c>
      <c r="R108" s="168" t="str">
        <f t="shared" si="42"/>
        <v/>
      </c>
      <c r="S108" s="168" t="str">
        <f t="shared" si="43"/>
        <v/>
      </c>
      <c r="T108" s="168" t="str">
        <f t="shared" si="44"/>
        <v/>
      </c>
      <c r="U108" s="168" t="str">
        <f t="shared" si="45"/>
        <v/>
      </c>
    </row>
    <row r="109" spans="1:21" x14ac:dyDescent="0.4">
      <c r="A109" s="168" t="str">
        <f t="shared" si="31"/>
        <v/>
      </c>
      <c r="B109" s="168" t="str">
        <f t="shared" si="46"/>
        <v/>
      </c>
      <c r="C109" s="168" t="str">
        <f ca="1">IFERROR(MIN(VLOOKUP(B109,INDIRECT("mort_alb_"&amp;Cover!$J$4),IF(Sex="M",2,3))/1000,1)*Mort_Int,"")</f>
        <v/>
      </c>
      <c r="D109" s="168" t="str">
        <f t="shared" ca="1" si="32"/>
        <v/>
      </c>
      <c r="E109" s="168" t="str">
        <f t="shared" si="33"/>
        <v/>
      </c>
      <c r="F109" s="168" t="str">
        <f t="shared" ca="1" si="34"/>
        <v/>
      </c>
      <c r="G109" s="168" t="str">
        <f t="shared" si="35"/>
        <v/>
      </c>
      <c r="H109" s="168" t="str">
        <f t="shared" si="36"/>
        <v/>
      </c>
      <c r="I109" s="168" t="str">
        <f t="shared" si="37"/>
        <v/>
      </c>
      <c r="J109" s="168" t="str">
        <f>IFERROR(IF(B109&lt;=Age+B,IF(AND(B109&gt;=Begin_Age,B109&lt;End_Age),GB_rate,0),""),"")</f>
        <v/>
      </c>
      <c r="K109" s="168" t="str">
        <f t="shared" si="38"/>
        <v/>
      </c>
      <c r="L109" s="168" t="str">
        <f t="shared" si="39"/>
        <v/>
      </c>
      <c r="M109" s="168" t="str">
        <f>IFERROR(IF(B109&lt;=Age+B,J109*Face_Amt*(End_Age-B109-1),""),"")</f>
        <v/>
      </c>
      <c r="N109" s="168" t="str">
        <f>IFERROR(IF(B109&lt;=Age+B,MAX(MIN(A109,PPP)*Gross_Premium,CV!Z110+L110)*K109,""),"")</f>
        <v/>
      </c>
      <c r="O109" s="171" t="str" cm="1">
        <f t="array" ref="O109">IFERROR(IF(B109&lt;=Age+B,VLOOKUP(IF(PPP&lt;20,PPP,"20+"),Exp_load_Prem,_xlfn.IFS(A109=1,1,A109=2,2,A109=3,3,OR(A109=4,A109=5),4,AND(A109&gt;=6,A109&lt;=10),5,AND(A109&gt;=11,A109&lt;=PPP),6,A109&gt;PPP,7)+1,FALSE),""),"")</f>
        <v/>
      </c>
      <c r="P109" s="168" t="str">
        <f t="shared" si="40"/>
        <v/>
      </c>
      <c r="Q109" s="168" t="str">
        <f t="shared" si="41"/>
        <v/>
      </c>
      <c r="R109" s="168" t="str">
        <f t="shared" si="42"/>
        <v/>
      </c>
      <c r="S109" s="168" t="str">
        <f t="shared" si="43"/>
        <v/>
      </c>
      <c r="T109" s="168" t="str">
        <f t="shared" si="44"/>
        <v/>
      </c>
      <c r="U109" s="168" t="str">
        <f t="shared" si="45"/>
        <v/>
      </c>
    </row>
    <row r="110" spans="1:21" x14ac:dyDescent="0.4">
      <c r="A110" s="168" t="str">
        <f t="shared" si="31"/>
        <v/>
      </c>
      <c r="B110" s="168" t="str">
        <f t="shared" si="46"/>
        <v/>
      </c>
      <c r="C110" s="168" t="str">
        <f ca="1">IFERROR(MIN(VLOOKUP(B110,INDIRECT("mort_alb_"&amp;Cover!$J$4),IF(Sex="M",2,3))/1000,1)*Mort_Int,"")</f>
        <v/>
      </c>
      <c r="D110" s="168" t="str">
        <f t="shared" ca="1" si="32"/>
        <v/>
      </c>
      <c r="E110" s="168" t="str">
        <f t="shared" si="33"/>
        <v/>
      </c>
      <c r="F110" s="168" t="str">
        <f t="shared" ca="1" si="34"/>
        <v/>
      </c>
      <c r="G110" s="168" t="str">
        <f t="shared" si="35"/>
        <v/>
      </c>
      <c r="H110" s="168" t="str">
        <f t="shared" si="36"/>
        <v/>
      </c>
      <c r="I110" s="168" t="str">
        <f t="shared" si="37"/>
        <v/>
      </c>
      <c r="J110" s="168" t="str">
        <f>IFERROR(IF(B110&lt;=Age+B,IF(AND(B110&gt;=Begin_Age,B110&lt;End_Age),GB_rate,0),""),"")</f>
        <v/>
      </c>
      <c r="K110" s="168" t="str">
        <f t="shared" si="38"/>
        <v/>
      </c>
      <c r="L110" s="168" t="str">
        <f t="shared" si="39"/>
        <v/>
      </c>
      <c r="M110" s="168" t="str">
        <f>IFERROR(IF(B110&lt;=Age+B,J110*Face_Amt*(End_Age-B110-1),""),"")</f>
        <v/>
      </c>
      <c r="N110" s="168" t="str">
        <f>IFERROR(IF(B110&lt;=Age+B,MAX(MIN(A110,PPP)*Gross_Premium,CV!Z111+L111)*K110,""),"")</f>
        <v/>
      </c>
      <c r="O110" s="171" t="str" cm="1">
        <f t="array" ref="O110">IFERROR(IF(B110&lt;=Age+B,VLOOKUP(IF(PPP&lt;20,PPP,"20+"),Exp_load_Prem,_xlfn.IFS(A110=1,1,A110=2,2,A110=3,3,OR(A110=4,A110=5),4,AND(A110&gt;=6,A110&lt;=10),5,AND(A110&gt;=11,A110&lt;=PPP),6,A110&gt;PPP,7)+1,FALSE),""),"")</f>
        <v/>
      </c>
      <c r="P110" s="168" t="str">
        <f t="shared" si="40"/>
        <v/>
      </c>
      <c r="Q110" s="168" t="str">
        <f t="shared" si="41"/>
        <v/>
      </c>
      <c r="R110" s="168" t="str">
        <f t="shared" si="42"/>
        <v/>
      </c>
      <c r="S110" s="168" t="str">
        <f t="shared" si="43"/>
        <v/>
      </c>
      <c r="T110" s="168" t="str">
        <f t="shared" si="44"/>
        <v/>
      </c>
      <c r="U110" s="168" t="str">
        <f t="shared" si="45"/>
        <v/>
      </c>
    </row>
    <row r="111" spans="1:21" x14ac:dyDescent="0.4">
      <c r="A111" s="168" t="str">
        <f t="shared" si="31"/>
        <v/>
      </c>
      <c r="B111" s="168" t="str">
        <f t="shared" si="46"/>
        <v/>
      </c>
      <c r="C111" s="168" t="str">
        <f ca="1">IFERROR(MIN(VLOOKUP(B111,INDIRECT("mort_alb_"&amp;Cover!$J$4),IF(Sex="M",2,3))/1000,1)*Mort_Int,"")</f>
        <v/>
      </c>
      <c r="D111" s="168" t="str">
        <f t="shared" ca="1" si="32"/>
        <v/>
      </c>
      <c r="E111" s="168" t="str">
        <f t="shared" si="33"/>
        <v/>
      </c>
      <c r="F111" s="168" t="str">
        <f t="shared" ca="1" si="34"/>
        <v/>
      </c>
      <c r="G111" s="168" t="str">
        <f t="shared" si="35"/>
        <v/>
      </c>
      <c r="H111" s="168" t="str">
        <f t="shared" si="36"/>
        <v/>
      </c>
      <c r="I111" s="168" t="str">
        <f t="shared" si="37"/>
        <v/>
      </c>
      <c r="J111" s="168" t="str">
        <f>IFERROR(IF(B111&lt;=Age+B,IF(AND(B111&gt;=Begin_Age,B111&lt;End_Age),GB_rate,0),""),"")</f>
        <v/>
      </c>
      <c r="K111" s="168" t="str">
        <f t="shared" si="38"/>
        <v/>
      </c>
      <c r="L111" s="168" t="str">
        <f t="shared" si="39"/>
        <v/>
      </c>
      <c r="M111" s="168" t="str">
        <f>IFERROR(IF(B111&lt;=Age+B,J111*Face_Amt*(End_Age-B111-1),""),"")</f>
        <v/>
      </c>
      <c r="N111" s="168" t="str">
        <f>IFERROR(IF(B111&lt;=Age+B,MAX(MIN(A111,PPP)*Gross_Premium,CV!Z112+L112)*K111,""),"")</f>
        <v/>
      </c>
      <c r="O111" s="171" t="str" cm="1">
        <f t="array" ref="O111">IFERROR(IF(B111&lt;=Age+B,VLOOKUP(IF(PPP&lt;20,PPP,"20+"),Exp_load_Prem,_xlfn.IFS(A111=1,1,A111=2,2,A111=3,3,OR(A111=4,A111=5),4,AND(A111&gt;=6,A111&lt;=10),5,AND(A111&gt;=11,A111&lt;=PPP),6,A111&gt;PPP,7)+1,FALSE),""),"")</f>
        <v/>
      </c>
      <c r="P111" s="168" t="str">
        <f t="shared" si="40"/>
        <v/>
      </c>
      <c r="Q111" s="168" t="str">
        <f t="shared" si="41"/>
        <v/>
      </c>
      <c r="R111" s="168" t="str">
        <f t="shared" si="42"/>
        <v/>
      </c>
      <c r="S111" s="168" t="str">
        <f t="shared" si="43"/>
        <v/>
      </c>
      <c r="T111" s="168" t="str">
        <f t="shared" si="44"/>
        <v/>
      </c>
      <c r="U111" s="168" t="str">
        <f t="shared" si="45"/>
        <v/>
      </c>
    </row>
    <row r="112" spans="1:21" x14ac:dyDescent="0.4">
      <c r="A112" s="168" t="str">
        <f t="shared" si="31"/>
        <v/>
      </c>
      <c r="B112" s="168" t="str">
        <f t="shared" si="46"/>
        <v/>
      </c>
      <c r="C112" s="168" t="str">
        <f ca="1">IFERROR(MIN(VLOOKUP(B112,INDIRECT("mort_alb_"&amp;Cover!$J$4),IF(Sex="M",2,3))/1000,1)*Mort_Int,"")</f>
        <v/>
      </c>
      <c r="D112" s="168" t="str">
        <f t="shared" ca="1" si="32"/>
        <v/>
      </c>
      <c r="E112" s="168" t="str">
        <f t="shared" si="33"/>
        <v/>
      </c>
      <c r="F112" s="168" t="str">
        <f t="shared" ca="1" si="34"/>
        <v/>
      </c>
      <c r="G112" s="168" t="str">
        <f t="shared" si="35"/>
        <v/>
      </c>
      <c r="H112" s="168" t="str">
        <f t="shared" si="36"/>
        <v/>
      </c>
      <c r="I112" s="168" t="str">
        <f t="shared" si="37"/>
        <v/>
      </c>
      <c r="J112" s="168" t="str">
        <f>IFERROR(IF(B112&lt;=Age+B,IF(AND(B112&gt;=Begin_Age,B112&lt;End_Age),GB_rate,0),""),"")</f>
        <v/>
      </c>
      <c r="K112" s="168" t="str">
        <f t="shared" si="38"/>
        <v/>
      </c>
      <c r="L112" s="168" t="str">
        <f t="shared" si="39"/>
        <v/>
      </c>
      <c r="M112" s="168" t="str">
        <f>IFERROR(IF(B112&lt;=Age+B,J112*Face_Amt*(End_Age-B112-1),""),"")</f>
        <v/>
      </c>
      <c r="N112" s="168" t="str">
        <f>IFERROR(IF(B112&lt;=Age+B,MAX(MIN(A112,PPP)*Gross_Premium,CV!Z113+L113)*K112,""),"")</f>
        <v/>
      </c>
      <c r="O112" s="171" t="str" cm="1">
        <f t="array" ref="O112">IFERROR(IF(B112&lt;=Age+B,VLOOKUP(IF(PPP&lt;20,PPP,"20+"),Exp_load_Prem,_xlfn.IFS(A112=1,1,A112=2,2,A112=3,3,OR(A112=4,A112=5),4,AND(A112&gt;=6,A112&lt;=10),5,AND(A112&gt;=11,A112&lt;=PPP),6,A112&gt;PPP,7)+1,FALSE),""),"")</f>
        <v/>
      </c>
      <c r="P112" s="168" t="str">
        <f t="shared" si="40"/>
        <v/>
      </c>
      <c r="Q112" s="168" t="str">
        <f t="shared" si="41"/>
        <v/>
      </c>
      <c r="R112" s="168" t="str">
        <f t="shared" si="42"/>
        <v/>
      </c>
      <c r="S112" s="168" t="str">
        <f t="shared" si="43"/>
        <v/>
      </c>
      <c r="T112" s="168" t="str">
        <f t="shared" si="44"/>
        <v/>
      </c>
      <c r="U112" s="168" t="str">
        <f t="shared" si="45"/>
        <v/>
      </c>
    </row>
    <row r="113" spans="1:21" x14ac:dyDescent="0.4">
      <c r="A113" s="168" t="str">
        <f t="shared" si="31"/>
        <v/>
      </c>
      <c r="B113" s="168" t="str">
        <f t="shared" si="46"/>
        <v/>
      </c>
      <c r="C113" s="168" t="str">
        <f ca="1">IFERROR(MIN(VLOOKUP(B113,INDIRECT("mort_alb_"&amp;Cover!$J$4),IF(Sex="M",2,3))/1000,1)*Mort_Int,"")</f>
        <v/>
      </c>
      <c r="D113" s="168" t="str">
        <f t="shared" ca="1" si="32"/>
        <v/>
      </c>
      <c r="E113" s="168" t="str">
        <f t="shared" si="33"/>
        <v/>
      </c>
      <c r="F113" s="168" t="str">
        <f t="shared" ca="1" si="34"/>
        <v/>
      </c>
      <c r="G113" s="168" t="str">
        <f t="shared" si="35"/>
        <v/>
      </c>
      <c r="H113" s="168" t="str">
        <f t="shared" si="36"/>
        <v/>
      </c>
      <c r="I113" s="168" t="str">
        <f t="shared" si="37"/>
        <v/>
      </c>
      <c r="J113" s="168" t="str">
        <f>IFERROR(IF(B113&lt;=Age+B,IF(AND(B113&gt;=Begin_Age,B113&lt;End_Age),GB_rate,0),""),"")</f>
        <v/>
      </c>
      <c r="K113" s="168" t="str">
        <f t="shared" si="38"/>
        <v/>
      </c>
      <c r="L113" s="168" t="str">
        <f t="shared" si="39"/>
        <v/>
      </c>
      <c r="M113" s="168" t="str">
        <f>IFERROR(IF(B113&lt;=Age+B,J113*Face_Amt*(End_Age-B113-1),""),"")</f>
        <v/>
      </c>
      <c r="N113" s="168" t="str">
        <f>IFERROR(IF(B113&lt;=Age+B,MAX(MIN(A113,PPP)*Gross_Premium,CV!Z114+L114)*K113,""),"")</f>
        <v/>
      </c>
      <c r="O113" s="171" t="str" cm="1">
        <f t="array" ref="O113">IFERROR(IF(B113&lt;=Age+B,VLOOKUP(IF(PPP&lt;20,PPP,"20+"),Exp_load_Prem,_xlfn.IFS(A113=1,1,A113=2,2,A113=3,3,OR(A113=4,A113=5),4,AND(A113&gt;=6,A113&lt;=10),5,AND(A113&gt;=11,A113&lt;=PPP),6,A113&gt;PPP,7)+1,FALSE),""),"")</f>
        <v/>
      </c>
      <c r="P113" s="168" t="str">
        <f t="shared" si="40"/>
        <v/>
      </c>
      <c r="Q113" s="168" t="str">
        <f t="shared" si="41"/>
        <v/>
      </c>
      <c r="R113" s="168" t="str">
        <f t="shared" si="42"/>
        <v/>
      </c>
      <c r="S113" s="168" t="str">
        <f t="shared" si="43"/>
        <v/>
      </c>
      <c r="T113" s="168" t="str">
        <f t="shared" si="44"/>
        <v/>
      </c>
      <c r="U113" s="168" t="str">
        <f t="shared" si="45"/>
        <v/>
      </c>
    </row>
    <row r="114" spans="1:21" x14ac:dyDescent="0.4">
      <c r="A114" s="168" t="str">
        <f t="shared" ref="A114:A123" si="47">IF(B114&lt;=Age+B,B114-Age+1,"")</f>
        <v/>
      </c>
      <c r="B114" s="168" t="str">
        <f t="shared" si="46"/>
        <v/>
      </c>
      <c r="C114" s="168" t="str">
        <f ca="1">IFERROR(MIN(VLOOKUP(B114,INDIRECT("mort_alb_"&amp;Cover!$J$4),IF(Sex="M",2,3))/1000,1)*Mort_Int,"")</f>
        <v/>
      </c>
      <c r="D114" s="168" t="str">
        <f t="shared" ca="1" si="32"/>
        <v/>
      </c>
      <c r="E114" s="168" t="str">
        <f t="shared" ref="E114:E123" si="48">IFERROR(IF(B114&lt;=Age+B,IF(A114=1,1,E113-D113),""),"")</f>
        <v/>
      </c>
      <c r="F114" s="168" t="str">
        <f t="shared" ref="F114:F123" ca="1" si="49">IFERROR(D114/(1+Prem_Int)^(B114+1),"")</f>
        <v/>
      </c>
      <c r="G114" s="168" t="str">
        <f t="shared" ref="G114:G123" si="50">IFERROR(E114/(1+Prem_Int)^B114,"")</f>
        <v/>
      </c>
      <c r="H114" s="168" t="str">
        <f t="shared" ref="H114:H123" si="51">IFERROR(IF(B114&lt;=Age+B,IF(A114&lt;=PPP,1,0),""),"")</f>
        <v/>
      </c>
      <c r="I114" s="168" t="str">
        <f t="shared" ref="I114:I123" si="52">IFERROR(IF(B114&lt;=Age+B,IF(AND(B114&gt;=Begin_Age,A114&lt;=B+1),AB_rate,0),""),"")</f>
        <v/>
      </c>
      <c r="J114" s="168" t="str">
        <f>IFERROR(IF(B114&lt;=Age+B,IF(AND(B114&gt;=Begin_Age,B114&lt;End_Age),GB_rate,0),""),"")</f>
        <v/>
      </c>
      <c r="K114" s="168" t="str">
        <f t="shared" ref="K114:K123" si="53">IFERROR(IF(B114&lt;=Age+B,IF(B114&lt;Begin_Age,1,0),""),"")</f>
        <v/>
      </c>
      <c r="L114" s="168" t="str">
        <f t="shared" ref="L114:L123" si="54">IFERROR(IF(B114&lt;=Age+B,I114*Face_Amt,""),"")</f>
        <v/>
      </c>
      <c r="M114" s="168" t="str">
        <f>IFERROR(IF(B114&lt;=Age+B,J114*Face_Amt*(End_Age-B114-1),""),"")</f>
        <v/>
      </c>
      <c r="N114" s="168" t="str">
        <f>IFERROR(IF(B114&lt;=Age+B,MAX(MIN(A114,PPP)*Gross_Premium,CV!Z115+L115)*K114,""),"")</f>
        <v/>
      </c>
      <c r="O114" s="171" t="str" cm="1">
        <f t="array" ref="O114">IFERROR(IF(B114&lt;=Age+B,VLOOKUP(IF(PPP&lt;20,PPP,"20+"),Exp_load_Prem,_xlfn.IFS(A114=1,1,A114=2,2,A114=3,3,OR(A114=4,A114=5),4,AND(A114&gt;=6,A114&lt;=10),5,AND(A114&gt;=11,A114&lt;=PPP),6,A114&gt;PPP,7)+1,FALSE),""),"")</f>
        <v/>
      </c>
      <c r="P114" s="168" t="str">
        <f t="shared" ref="P114:P123" si="55">IFERROR(IF(B114&lt;=Age+B,(M114+N114)*F114,""),"")</f>
        <v/>
      </c>
      <c r="Q114" s="168" t="str">
        <f t="shared" ref="Q114:Q123" si="56">IFERROR(IF(B114&lt;=Age+B,L114*G114,""),"")</f>
        <v/>
      </c>
      <c r="R114" s="168" t="str">
        <f t="shared" ref="R114:R123" si="57">IFERROR(IF(B114&lt;=Age+B,H114*G114,""),"")</f>
        <v/>
      </c>
      <c r="S114" s="168" t="str">
        <f t="shared" ref="S114:S123" si="58">IFERROR(IF(B114&lt;=Age+B,R114*O114,""),"")</f>
        <v/>
      </c>
      <c r="T114" s="168" t="str">
        <f t="shared" ref="T114:T123" si="59">IFERROR(IF(B114&lt;=Age+B,U114*(1-O114),""),"")</f>
        <v/>
      </c>
      <c r="U114" s="168" t="str">
        <f t="shared" ref="U114:U123" si="60">IFERROR(IF(B114&lt;=Age+B,$E$10*H114,""),"")</f>
        <v/>
      </c>
    </row>
    <row r="115" spans="1:21" x14ac:dyDescent="0.4">
      <c r="A115" s="168" t="str">
        <f t="shared" si="47"/>
        <v/>
      </c>
      <c r="B115" s="168" t="str">
        <f t="shared" ref="B115:B123" si="61">IFERROR(IF(AND(Age&gt;=0,Age&lt;=60),IF(B114+1&lt;=Age+B,B114+1,""),""),"")</f>
        <v/>
      </c>
      <c r="C115" s="168" t="str">
        <f ca="1">IFERROR(MIN(VLOOKUP(B115,INDIRECT("mort_alb_"&amp;Cover!$J$4),IF(Sex="M",2,3))/1000,1)*Mort_Int,"")</f>
        <v/>
      </c>
      <c r="D115" s="168" t="str">
        <f t="shared" ca="1" si="32"/>
        <v/>
      </c>
      <c r="E115" s="168" t="str">
        <f t="shared" si="48"/>
        <v/>
      </c>
      <c r="F115" s="168" t="str">
        <f t="shared" ca="1" si="49"/>
        <v/>
      </c>
      <c r="G115" s="168" t="str">
        <f t="shared" si="50"/>
        <v/>
      </c>
      <c r="H115" s="168" t="str">
        <f t="shared" si="51"/>
        <v/>
      </c>
      <c r="I115" s="168" t="str">
        <f t="shared" si="52"/>
        <v/>
      </c>
      <c r="J115" s="168" t="str">
        <f>IFERROR(IF(B115&lt;=Age+B,IF(AND(B115&gt;=Begin_Age,B115&lt;End_Age),GB_rate,0),""),"")</f>
        <v/>
      </c>
      <c r="K115" s="168" t="str">
        <f t="shared" si="53"/>
        <v/>
      </c>
      <c r="L115" s="168" t="str">
        <f t="shared" si="54"/>
        <v/>
      </c>
      <c r="M115" s="168" t="str">
        <f>IFERROR(IF(B115&lt;=Age+B,J115*Face_Amt*(End_Age-B115-1),""),"")</f>
        <v/>
      </c>
      <c r="N115" s="168" t="str">
        <f>IFERROR(IF(B115&lt;=Age+B,MAX(MIN(A115,PPP)*Gross_Premium,CV!Z116+L116)*K115,""),"")</f>
        <v/>
      </c>
      <c r="O115" s="171" t="str" cm="1">
        <f t="array" ref="O115">IFERROR(IF(B115&lt;=Age+B,VLOOKUP(IF(PPP&lt;20,PPP,"20+"),Exp_load_Prem,_xlfn.IFS(A115=1,1,A115=2,2,A115=3,3,OR(A115=4,A115=5),4,AND(A115&gt;=6,A115&lt;=10),5,AND(A115&gt;=11,A115&lt;=PPP),6,A115&gt;PPP,7)+1,FALSE),""),"")</f>
        <v/>
      </c>
      <c r="P115" s="168" t="str">
        <f t="shared" si="55"/>
        <v/>
      </c>
      <c r="Q115" s="168" t="str">
        <f t="shared" si="56"/>
        <v/>
      </c>
      <c r="R115" s="168" t="str">
        <f t="shared" si="57"/>
        <v/>
      </c>
      <c r="S115" s="168" t="str">
        <f t="shared" si="58"/>
        <v/>
      </c>
      <c r="T115" s="168" t="str">
        <f t="shared" si="59"/>
        <v/>
      </c>
      <c r="U115" s="168" t="str">
        <f t="shared" si="60"/>
        <v/>
      </c>
    </row>
    <row r="116" spans="1:21" x14ac:dyDescent="0.4">
      <c r="A116" s="168" t="str">
        <f t="shared" si="47"/>
        <v/>
      </c>
      <c r="B116" s="168" t="str">
        <f t="shared" si="61"/>
        <v/>
      </c>
      <c r="C116" s="168" t="str">
        <f ca="1">IFERROR(MIN(VLOOKUP(B116,INDIRECT("mort_alb_"&amp;Cover!$J$4),IF(Sex="M",2,3))/1000,1)*Mort_Int,"")</f>
        <v/>
      </c>
      <c r="D116" s="168" t="str">
        <f t="shared" ca="1" si="32"/>
        <v/>
      </c>
      <c r="E116" s="168" t="str">
        <f t="shared" si="48"/>
        <v/>
      </c>
      <c r="F116" s="168" t="str">
        <f t="shared" ca="1" si="49"/>
        <v/>
      </c>
      <c r="G116" s="168" t="str">
        <f t="shared" si="50"/>
        <v/>
      </c>
      <c r="H116" s="168" t="str">
        <f t="shared" si="51"/>
        <v/>
      </c>
      <c r="I116" s="168" t="str">
        <f t="shared" si="52"/>
        <v/>
      </c>
      <c r="J116" s="168" t="str">
        <f>IFERROR(IF(B116&lt;=Age+B,IF(AND(B116&gt;=Begin_Age,B116&lt;End_Age),GB_rate,0),""),"")</f>
        <v/>
      </c>
      <c r="K116" s="168" t="str">
        <f t="shared" si="53"/>
        <v/>
      </c>
      <c r="L116" s="168" t="str">
        <f t="shared" si="54"/>
        <v/>
      </c>
      <c r="M116" s="168" t="str">
        <f>IFERROR(IF(B116&lt;=Age+B,J116*Face_Amt*(End_Age-B116-1),""),"")</f>
        <v/>
      </c>
      <c r="N116" s="168" t="str">
        <f>IFERROR(IF(B116&lt;=Age+B,MAX(MIN(A116,PPP)*Gross_Premium,CV!Z117+L117)*K116,""),"")</f>
        <v/>
      </c>
      <c r="O116" s="171" t="str" cm="1">
        <f t="array" ref="O116">IFERROR(IF(B116&lt;=Age+B,VLOOKUP(IF(PPP&lt;20,PPP,"20+"),Exp_load_Prem,_xlfn.IFS(A116=1,1,A116=2,2,A116=3,3,OR(A116=4,A116=5),4,AND(A116&gt;=6,A116&lt;=10),5,AND(A116&gt;=11,A116&lt;=PPP),6,A116&gt;PPP,7)+1,FALSE),""),"")</f>
        <v/>
      </c>
      <c r="P116" s="168" t="str">
        <f t="shared" si="55"/>
        <v/>
      </c>
      <c r="Q116" s="168" t="str">
        <f t="shared" si="56"/>
        <v/>
      </c>
      <c r="R116" s="168" t="str">
        <f t="shared" si="57"/>
        <v/>
      </c>
      <c r="S116" s="168" t="str">
        <f t="shared" si="58"/>
        <v/>
      </c>
      <c r="T116" s="168" t="str">
        <f t="shared" si="59"/>
        <v/>
      </c>
      <c r="U116" s="168" t="str">
        <f t="shared" si="60"/>
        <v/>
      </c>
    </row>
    <row r="117" spans="1:21" x14ac:dyDescent="0.4">
      <c r="A117" s="168" t="str">
        <f t="shared" si="47"/>
        <v/>
      </c>
      <c r="B117" s="168" t="str">
        <f t="shared" si="61"/>
        <v/>
      </c>
      <c r="C117" s="168" t="str">
        <f ca="1">IFERROR(MIN(VLOOKUP(B117,INDIRECT("mort_alb_"&amp;Cover!$J$4),IF(Sex="M",2,3))/1000,1)*Mort_Int,"")</f>
        <v/>
      </c>
      <c r="D117" s="168" t="str">
        <f t="shared" ca="1" si="32"/>
        <v/>
      </c>
      <c r="E117" s="168" t="str">
        <f t="shared" si="48"/>
        <v/>
      </c>
      <c r="F117" s="168" t="str">
        <f t="shared" ca="1" si="49"/>
        <v/>
      </c>
      <c r="G117" s="168" t="str">
        <f t="shared" si="50"/>
        <v/>
      </c>
      <c r="H117" s="168" t="str">
        <f t="shared" si="51"/>
        <v/>
      </c>
      <c r="I117" s="168" t="str">
        <f t="shared" si="52"/>
        <v/>
      </c>
      <c r="J117" s="168" t="str">
        <f>IFERROR(IF(B117&lt;=Age+B,IF(AND(B117&gt;=Begin_Age,B117&lt;End_Age),GB_rate,0),""),"")</f>
        <v/>
      </c>
      <c r="K117" s="168" t="str">
        <f t="shared" si="53"/>
        <v/>
      </c>
      <c r="L117" s="168" t="str">
        <f t="shared" si="54"/>
        <v/>
      </c>
      <c r="M117" s="168" t="str">
        <f>IFERROR(IF(B117&lt;=Age+B,J117*Face_Amt*(End_Age-B117-1),""),"")</f>
        <v/>
      </c>
      <c r="N117" s="168" t="str">
        <f>IFERROR(IF(B117&lt;=Age+B,MAX(MIN(A117,PPP)*Gross_Premium,CV!Z118+L118)*K117,""),"")</f>
        <v/>
      </c>
      <c r="O117" s="171" t="str" cm="1">
        <f t="array" ref="O117">IFERROR(IF(B117&lt;=Age+B,VLOOKUP(IF(PPP&lt;20,PPP,"20+"),Exp_load_Prem,_xlfn.IFS(A117=1,1,A117=2,2,A117=3,3,OR(A117=4,A117=5),4,AND(A117&gt;=6,A117&lt;=10),5,AND(A117&gt;=11,A117&lt;=PPP),6,A117&gt;PPP,7)+1,FALSE),""),"")</f>
        <v/>
      </c>
      <c r="P117" s="168" t="str">
        <f t="shared" si="55"/>
        <v/>
      </c>
      <c r="Q117" s="168" t="str">
        <f t="shared" si="56"/>
        <v/>
      </c>
      <c r="R117" s="168" t="str">
        <f t="shared" si="57"/>
        <v/>
      </c>
      <c r="S117" s="168" t="str">
        <f t="shared" si="58"/>
        <v/>
      </c>
      <c r="T117" s="168" t="str">
        <f t="shared" si="59"/>
        <v/>
      </c>
      <c r="U117" s="168" t="str">
        <f t="shared" si="60"/>
        <v/>
      </c>
    </row>
    <row r="118" spans="1:21" x14ac:dyDescent="0.4">
      <c r="A118" s="168" t="str">
        <f t="shared" si="47"/>
        <v/>
      </c>
      <c r="B118" s="168" t="str">
        <f t="shared" si="61"/>
        <v/>
      </c>
      <c r="C118" s="168" t="str">
        <f ca="1">IFERROR(MIN(VLOOKUP(B118,INDIRECT("mort_alb_"&amp;Cover!$J$4),IF(Sex="M",2,3))/1000,1)*Mort_Int,"")</f>
        <v/>
      </c>
      <c r="D118" s="168" t="str">
        <f t="shared" ca="1" si="32"/>
        <v/>
      </c>
      <c r="E118" s="168" t="str">
        <f t="shared" si="48"/>
        <v/>
      </c>
      <c r="F118" s="168" t="str">
        <f t="shared" ca="1" si="49"/>
        <v/>
      </c>
      <c r="G118" s="168" t="str">
        <f t="shared" si="50"/>
        <v/>
      </c>
      <c r="H118" s="168" t="str">
        <f t="shared" si="51"/>
        <v/>
      </c>
      <c r="I118" s="168" t="str">
        <f t="shared" si="52"/>
        <v/>
      </c>
      <c r="J118" s="168" t="str">
        <f>IFERROR(IF(B118&lt;=Age+B,IF(AND(B118&gt;=Begin_Age,B118&lt;End_Age),GB_rate,0),""),"")</f>
        <v/>
      </c>
      <c r="K118" s="168" t="str">
        <f t="shared" si="53"/>
        <v/>
      </c>
      <c r="L118" s="168" t="str">
        <f t="shared" si="54"/>
        <v/>
      </c>
      <c r="M118" s="168" t="str">
        <f>IFERROR(IF(B118&lt;=Age+B,J118*Face_Amt*(End_Age-B118-1),""),"")</f>
        <v/>
      </c>
      <c r="N118" s="168" t="str">
        <f>IFERROR(IF(B118&lt;=Age+B,MAX(MIN(A118,PPP)*Gross_Premium,CV!Z119+L119)*K118,""),"")</f>
        <v/>
      </c>
      <c r="O118" s="171" t="str" cm="1">
        <f t="array" ref="O118">IFERROR(IF(B118&lt;=Age+B,VLOOKUP(IF(PPP&lt;20,PPP,"20+"),Exp_load_Prem,_xlfn.IFS(A118=1,1,A118=2,2,A118=3,3,OR(A118=4,A118=5),4,AND(A118&gt;=6,A118&lt;=10),5,AND(A118&gt;=11,A118&lt;=PPP),6,A118&gt;PPP,7)+1,FALSE),""),"")</f>
        <v/>
      </c>
      <c r="P118" s="168" t="str">
        <f t="shared" si="55"/>
        <v/>
      </c>
      <c r="Q118" s="168" t="str">
        <f t="shared" si="56"/>
        <v/>
      </c>
      <c r="R118" s="168" t="str">
        <f t="shared" si="57"/>
        <v/>
      </c>
      <c r="S118" s="168" t="str">
        <f t="shared" si="58"/>
        <v/>
      </c>
      <c r="T118" s="168" t="str">
        <f t="shared" si="59"/>
        <v/>
      </c>
      <c r="U118" s="168" t="str">
        <f t="shared" si="60"/>
        <v/>
      </c>
    </row>
    <row r="119" spans="1:21" x14ac:dyDescent="0.4">
      <c r="A119" s="168" t="str">
        <f t="shared" si="47"/>
        <v/>
      </c>
      <c r="B119" s="168" t="str">
        <f t="shared" si="61"/>
        <v/>
      </c>
      <c r="C119" s="168" t="str">
        <f ca="1">IFERROR(MIN(VLOOKUP(B119,INDIRECT("mort_alb_"&amp;Cover!$J$4),IF(Sex="M",2,3))/1000,1)*Mort_Int,"")</f>
        <v/>
      </c>
      <c r="D119" s="168" t="str">
        <f t="shared" ca="1" si="32"/>
        <v/>
      </c>
      <c r="E119" s="168" t="str">
        <f t="shared" si="48"/>
        <v/>
      </c>
      <c r="F119" s="168" t="str">
        <f t="shared" ca="1" si="49"/>
        <v/>
      </c>
      <c r="G119" s="168" t="str">
        <f t="shared" si="50"/>
        <v/>
      </c>
      <c r="H119" s="168" t="str">
        <f t="shared" si="51"/>
        <v/>
      </c>
      <c r="I119" s="168" t="str">
        <f t="shared" si="52"/>
        <v/>
      </c>
      <c r="J119" s="168" t="str">
        <f>IFERROR(IF(B119&lt;=Age+B,IF(AND(B119&gt;=Begin_Age,B119&lt;End_Age),GB_rate,0),""),"")</f>
        <v/>
      </c>
      <c r="K119" s="168" t="str">
        <f t="shared" si="53"/>
        <v/>
      </c>
      <c r="L119" s="168" t="str">
        <f t="shared" si="54"/>
        <v/>
      </c>
      <c r="M119" s="168" t="str">
        <f>IFERROR(IF(B119&lt;=Age+B,J119*Face_Amt*(End_Age-B119-1),""),"")</f>
        <v/>
      </c>
      <c r="N119" s="168" t="str">
        <f>IFERROR(IF(B119&lt;=Age+B,MAX(MIN(A119,PPP)*Gross_Premium,CV!Z120+L120)*K119,""),"")</f>
        <v/>
      </c>
      <c r="O119" s="171" t="str" cm="1">
        <f t="array" ref="O119">IFERROR(IF(B119&lt;=Age+B,VLOOKUP(IF(PPP&lt;20,PPP,"20+"),Exp_load_Prem,_xlfn.IFS(A119=1,1,A119=2,2,A119=3,3,OR(A119=4,A119=5),4,AND(A119&gt;=6,A119&lt;=10),5,AND(A119&gt;=11,A119&lt;=PPP),6,A119&gt;PPP,7)+1,FALSE),""),"")</f>
        <v/>
      </c>
      <c r="P119" s="168" t="str">
        <f t="shared" si="55"/>
        <v/>
      </c>
      <c r="Q119" s="168" t="str">
        <f t="shared" si="56"/>
        <v/>
      </c>
      <c r="R119" s="168" t="str">
        <f t="shared" si="57"/>
        <v/>
      </c>
      <c r="S119" s="168" t="str">
        <f t="shared" si="58"/>
        <v/>
      </c>
      <c r="T119" s="168" t="str">
        <f t="shared" si="59"/>
        <v/>
      </c>
      <c r="U119" s="168" t="str">
        <f t="shared" si="60"/>
        <v/>
      </c>
    </row>
    <row r="120" spans="1:21" x14ac:dyDescent="0.4">
      <c r="A120" s="168" t="str">
        <f t="shared" si="47"/>
        <v/>
      </c>
      <c r="B120" s="168" t="str">
        <f t="shared" si="61"/>
        <v/>
      </c>
      <c r="C120" s="168" t="str">
        <f ca="1">IFERROR(MIN(VLOOKUP(B120,INDIRECT("mort_alb_"&amp;Cover!$J$4),IF(Sex="M",2,3))/1000,1)*Mort_Int,"")</f>
        <v/>
      </c>
      <c r="D120" s="168" t="str">
        <f t="shared" ca="1" si="32"/>
        <v/>
      </c>
      <c r="E120" s="168" t="str">
        <f t="shared" si="48"/>
        <v/>
      </c>
      <c r="F120" s="168" t="str">
        <f t="shared" ca="1" si="49"/>
        <v/>
      </c>
      <c r="G120" s="168" t="str">
        <f t="shared" si="50"/>
        <v/>
      </c>
      <c r="H120" s="168" t="str">
        <f t="shared" si="51"/>
        <v/>
      </c>
      <c r="I120" s="168" t="str">
        <f t="shared" si="52"/>
        <v/>
      </c>
      <c r="J120" s="168" t="str">
        <f>IFERROR(IF(B120&lt;=Age+B,IF(AND(B120&gt;=Begin_Age,B120&lt;End_Age),GB_rate,0),""),"")</f>
        <v/>
      </c>
      <c r="K120" s="168" t="str">
        <f t="shared" si="53"/>
        <v/>
      </c>
      <c r="L120" s="168" t="str">
        <f t="shared" si="54"/>
        <v/>
      </c>
      <c r="M120" s="168" t="str">
        <f>IFERROR(IF(B120&lt;=Age+B,J120*Face_Amt*(End_Age-B120-1),""),"")</f>
        <v/>
      </c>
      <c r="N120" s="168" t="str">
        <f>IFERROR(IF(B120&lt;=Age+B,MAX(MIN(A120,PPP)*Gross_Premium,CV!Z121+L121)*K120,""),"")</f>
        <v/>
      </c>
      <c r="O120" s="171" t="str" cm="1">
        <f t="array" ref="O120">IFERROR(IF(B120&lt;=Age+B,VLOOKUP(IF(PPP&lt;20,PPP,"20+"),Exp_load_Prem,_xlfn.IFS(A120=1,1,A120=2,2,A120=3,3,OR(A120=4,A120=5),4,AND(A120&gt;=6,A120&lt;=10),5,AND(A120&gt;=11,A120&lt;=PPP),6,A120&gt;PPP,7)+1,FALSE),""),"")</f>
        <v/>
      </c>
      <c r="P120" s="168" t="str">
        <f t="shared" si="55"/>
        <v/>
      </c>
      <c r="Q120" s="168" t="str">
        <f t="shared" si="56"/>
        <v/>
      </c>
      <c r="R120" s="168" t="str">
        <f t="shared" si="57"/>
        <v/>
      </c>
      <c r="S120" s="168" t="str">
        <f t="shared" si="58"/>
        <v/>
      </c>
      <c r="T120" s="168" t="str">
        <f t="shared" si="59"/>
        <v/>
      </c>
      <c r="U120" s="168" t="str">
        <f t="shared" si="60"/>
        <v/>
      </c>
    </row>
    <row r="121" spans="1:21" x14ac:dyDescent="0.4">
      <c r="A121" s="168" t="str">
        <f t="shared" si="47"/>
        <v/>
      </c>
      <c r="B121" s="168" t="str">
        <f t="shared" si="61"/>
        <v/>
      </c>
      <c r="C121" s="168" t="str">
        <f ca="1">IFERROR(MIN(VLOOKUP(B121,INDIRECT("mort_alb_"&amp;Cover!$J$4),IF(Sex="M",2,3))/1000,1)*Mort_Int,"")</f>
        <v/>
      </c>
      <c r="D121" s="168" t="str">
        <f t="shared" ca="1" si="32"/>
        <v/>
      </c>
      <c r="E121" s="168" t="str">
        <f t="shared" si="48"/>
        <v/>
      </c>
      <c r="F121" s="168" t="str">
        <f t="shared" ca="1" si="49"/>
        <v/>
      </c>
      <c r="G121" s="168" t="str">
        <f t="shared" si="50"/>
        <v/>
      </c>
      <c r="H121" s="168" t="str">
        <f t="shared" si="51"/>
        <v/>
      </c>
      <c r="I121" s="168" t="str">
        <f t="shared" si="52"/>
        <v/>
      </c>
      <c r="J121" s="168" t="str">
        <f>IFERROR(IF(B121&lt;=Age+B,IF(AND(B121&gt;=Begin_Age,B121&lt;End_Age),GB_rate,0),""),"")</f>
        <v/>
      </c>
      <c r="K121" s="168" t="str">
        <f t="shared" si="53"/>
        <v/>
      </c>
      <c r="L121" s="168" t="str">
        <f t="shared" si="54"/>
        <v/>
      </c>
      <c r="M121" s="168" t="str">
        <f>IFERROR(IF(B121&lt;=Age+B,J121*Face_Amt*(End_Age-B121-1),""),"")</f>
        <v/>
      </c>
      <c r="N121" s="168" t="str">
        <f>IFERROR(IF(B121&lt;=Age+B,MAX(MIN(A121,PPP)*Gross_Premium,CV!Z122+L122)*K121,""),"")</f>
        <v/>
      </c>
      <c r="O121" s="171" t="str" cm="1">
        <f t="array" ref="O121">IFERROR(IF(B121&lt;=Age+B,VLOOKUP(IF(PPP&lt;20,PPP,"20+"),Exp_load_Prem,_xlfn.IFS(A121=1,1,A121=2,2,A121=3,3,OR(A121=4,A121=5),4,AND(A121&gt;=6,A121&lt;=10),5,AND(A121&gt;=11,A121&lt;=PPP),6,A121&gt;PPP,7)+1,FALSE),""),"")</f>
        <v/>
      </c>
      <c r="P121" s="168" t="str">
        <f t="shared" si="55"/>
        <v/>
      </c>
      <c r="Q121" s="168" t="str">
        <f t="shared" si="56"/>
        <v/>
      </c>
      <c r="R121" s="168" t="str">
        <f t="shared" si="57"/>
        <v/>
      </c>
      <c r="S121" s="168" t="str">
        <f t="shared" si="58"/>
        <v/>
      </c>
      <c r="T121" s="168" t="str">
        <f t="shared" si="59"/>
        <v/>
      </c>
      <c r="U121" s="168" t="str">
        <f t="shared" si="60"/>
        <v/>
      </c>
    </row>
    <row r="122" spans="1:21" x14ac:dyDescent="0.4">
      <c r="A122" s="168" t="str">
        <f t="shared" si="47"/>
        <v/>
      </c>
      <c r="B122" s="168" t="str">
        <f t="shared" si="61"/>
        <v/>
      </c>
      <c r="C122" s="168" t="str">
        <f ca="1">IFERROR(MIN(VLOOKUP(B122,INDIRECT("mort_alb_"&amp;Cover!$J$4),IF(Sex="M",2,3))/1000,1)*Mort_Int,"")</f>
        <v/>
      </c>
      <c r="D122" s="168" t="str">
        <f t="shared" ca="1" si="32"/>
        <v/>
      </c>
      <c r="E122" s="168" t="str">
        <f t="shared" si="48"/>
        <v/>
      </c>
      <c r="F122" s="168" t="str">
        <f t="shared" ca="1" si="49"/>
        <v/>
      </c>
      <c r="G122" s="168" t="str">
        <f t="shared" si="50"/>
        <v/>
      </c>
      <c r="H122" s="168" t="str">
        <f t="shared" si="51"/>
        <v/>
      </c>
      <c r="I122" s="168" t="str">
        <f t="shared" si="52"/>
        <v/>
      </c>
      <c r="J122" s="168" t="str">
        <f>IFERROR(IF(B122&lt;=Age+B,IF(AND(B122&gt;=Begin_Age,B122&lt;End_Age),GB_rate,0),""),"")</f>
        <v/>
      </c>
      <c r="K122" s="168" t="str">
        <f t="shared" si="53"/>
        <v/>
      </c>
      <c r="L122" s="168" t="str">
        <f t="shared" si="54"/>
        <v/>
      </c>
      <c r="M122" s="168" t="str">
        <f>IFERROR(IF(B122&lt;=Age+B,J122*Face_Amt*(End_Age-B122-1),""),"")</f>
        <v/>
      </c>
      <c r="N122" s="168" t="str">
        <f>IFERROR(IF(B122&lt;=Age+B,MAX(MIN(A122,PPP)*Gross_Premium,CV!Z123+L123)*K122,""),"")</f>
        <v/>
      </c>
      <c r="O122" s="171" t="str" cm="1">
        <f t="array" ref="O122">IFERROR(IF(B122&lt;=Age+B,VLOOKUP(IF(PPP&lt;20,PPP,"20+"),Exp_load_Prem,_xlfn.IFS(A122=1,1,A122=2,2,A122=3,3,OR(A122=4,A122=5),4,AND(A122&gt;=6,A122&lt;=10),5,AND(A122&gt;=11,A122&lt;=PPP),6,A122&gt;PPP,7)+1,FALSE),""),"")</f>
        <v/>
      </c>
      <c r="P122" s="168" t="str">
        <f t="shared" si="55"/>
        <v/>
      </c>
      <c r="Q122" s="168" t="str">
        <f t="shared" si="56"/>
        <v/>
      </c>
      <c r="R122" s="168" t="str">
        <f t="shared" si="57"/>
        <v/>
      </c>
      <c r="S122" s="168" t="str">
        <f t="shared" si="58"/>
        <v/>
      </c>
      <c r="T122" s="168" t="str">
        <f t="shared" si="59"/>
        <v/>
      </c>
      <c r="U122" s="168" t="str">
        <f t="shared" si="60"/>
        <v/>
      </c>
    </row>
    <row r="123" spans="1:21" x14ac:dyDescent="0.4">
      <c r="A123" s="168" t="str">
        <f t="shared" si="47"/>
        <v/>
      </c>
      <c r="B123" s="168" t="str">
        <f t="shared" si="61"/>
        <v/>
      </c>
      <c r="C123" s="168" t="str">
        <f ca="1">IFERROR(MIN(VLOOKUP(B123,INDIRECT("mort_alb_"&amp;Cover!$J$4),IF(Sex="M",2,3))/1000,1)*Mort_Int,"")</f>
        <v/>
      </c>
      <c r="D123" s="168" t="str">
        <f t="shared" ca="1" si="32"/>
        <v/>
      </c>
      <c r="E123" s="168" t="str">
        <f t="shared" si="48"/>
        <v/>
      </c>
      <c r="F123" s="168" t="str">
        <f t="shared" ca="1" si="49"/>
        <v/>
      </c>
      <c r="G123" s="168" t="str">
        <f t="shared" si="50"/>
        <v/>
      </c>
      <c r="H123" s="168" t="str">
        <f t="shared" si="51"/>
        <v/>
      </c>
      <c r="I123" s="168" t="str">
        <f t="shared" si="52"/>
        <v/>
      </c>
      <c r="J123" s="168" t="str">
        <f>IFERROR(IF(B123&lt;=Age+B,IF(AND(B123&gt;=Begin_Age,B123&lt;End_Age),GB_rate,0),""),"")</f>
        <v/>
      </c>
      <c r="K123" s="168" t="str">
        <f t="shared" si="53"/>
        <v/>
      </c>
      <c r="L123" s="168" t="str">
        <f t="shared" si="54"/>
        <v/>
      </c>
      <c r="M123" s="168" t="str">
        <f>IFERROR(IF(B123&lt;=Age+B,J123*Face_Amt*(End_Age-B123-1),""),"")</f>
        <v/>
      </c>
      <c r="N123" s="168" t="str">
        <f>IFERROR(IF(B123&lt;=Age+B,MAX(MIN(A123,PPP)*Gross_Premium,CV!Z124+L124)*K123,""),"")</f>
        <v/>
      </c>
      <c r="O123" s="171" t="str" cm="1">
        <f t="array" ref="O123">IFERROR(IF(B123&lt;=Age+B,VLOOKUP(IF(PPP&lt;20,PPP,"20+"),Exp_load_Prem,_xlfn.IFS(A123=1,1,A123=2,2,A123=3,3,OR(A123=4,A123=5),4,AND(A123&gt;=6,A123&lt;=10),5,AND(A123&gt;=11,A123&lt;=PPP),6,A123&gt;PPP,7)+1,FALSE),""),"")</f>
        <v/>
      </c>
      <c r="P123" s="168" t="str">
        <f t="shared" si="55"/>
        <v/>
      </c>
      <c r="Q123" s="168" t="str">
        <f t="shared" si="56"/>
        <v/>
      </c>
      <c r="R123" s="168" t="str">
        <f t="shared" si="57"/>
        <v/>
      </c>
      <c r="S123" s="168" t="str">
        <f t="shared" si="58"/>
        <v/>
      </c>
      <c r="T123" s="168" t="str">
        <f t="shared" si="59"/>
        <v/>
      </c>
      <c r="U123" s="168" t="str">
        <f t="shared" si="60"/>
        <v/>
      </c>
    </row>
  </sheetData>
  <mergeCells count="4">
    <mergeCell ref="B1:E1"/>
    <mergeCell ref="D15:E15"/>
    <mergeCell ref="F15:G15"/>
    <mergeCell ref="H15:U15"/>
  </mergeCells>
  <phoneticPr fontId="3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23"/>
  <sheetViews>
    <sheetView zoomScale="70" zoomScaleNormal="70" workbookViewId="0">
      <selection activeCell="M22" sqref="M22"/>
    </sheetView>
  </sheetViews>
  <sheetFormatPr defaultColWidth="9" defaultRowHeight="15.75" x14ac:dyDescent="0.4"/>
  <cols>
    <col min="1" max="3" width="9" style="2"/>
    <col min="4" max="4" width="12.1875" style="2" customWidth="1"/>
    <col min="5" max="15" width="9" style="2"/>
    <col min="16" max="16" width="16" style="2" customWidth="1"/>
    <col min="17" max="18" width="9" style="2"/>
    <col min="19" max="20" width="12.1875" style="2" customWidth="1"/>
    <col min="21" max="21" width="20.1875" style="2" customWidth="1"/>
    <col min="22" max="22" width="12.1875" style="2" customWidth="1"/>
    <col min="23" max="23" width="13.5" style="2" customWidth="1"/>
    <col min="24" max="24" width="12.3125" style="2" customWidth="1"/>
    <col min="25" max="25" width="5.1875" style="2" customWidth="1"/>
    <col min="26" max="26" width="12.3125" style="2" customWidth="1"/>
    <col min="27" max="16384" width="9" style="2"/>
  </cols>
  <sheetData>
    <row r="1" spans="1:26" x14ac:dyDescent="0.4">
      <c r="A1" s="3"/>
      <c r="B1" s="160" t="s">
        <v>60</v>
      </c>
      <c r="C1" s="161"/>
      <c r="D1" s="161"/>
      <c r="E1" s="162"/>
      <c r="F1" s="20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4">
      <c r="A2" s="3"/>
      <c r="B2" s="157" t="s">
        <v>57</v>
      </c>
      <c r="C2" s="158">
        <f>Age</f>
        <v>20</v>
      </c>
      <c r="D2" s="158" t="s">
        <v>61</v>
      </c>
      <c r="E2" s="159">
        <f>Cover!J6</f>
        <v>25</v>
      </c>
      <c r="F2" s="16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x14ac:dyDescent="0.4">
      <c r="A3" s="3"/>
      <c r="B3" s="148" t="s">
        <v>6</v>
      </c>
      <c r="C3" s="149" t="str">
        <f>Sex</f>
        <v>M</v>
      </c>
      <c r="D3" s="149" t="s">
        <v>24</v>
      </c>
      <c r="E3" s="150">
        <f>Mort_Int</f>
        <v>0.8</v>
      </c>
      <c r="F3" s="16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4">
      <c r="A4" s="3"/>
      <c r="B4" s="148" t="s">
        <v>17</v>
      </c>
      <c r="C4" s="149">
        <f>PPP</f>
        <v>20</v>
      </c>
      <c r="D4" s="153"/>
      <c r="E4" s="201"/>
      <c r="F4" s="16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x14ac:dyDescent="0.4">
      <c r="A5" s="3"/>
      <c r="B5" s="148" t="s">
        <v>62</v>
      </c>
      <c r="C5" s="149">
        <f>B</f>
        <v>85</v>
      </c>
      <c r="D5" s="149" t="s">
        <v>162</v>
      </c>
      <c r="E5" s="150">
        <f>Begin_Age</f>
        <v>60</v>
      </c>
      <c r="F5" s="168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x14ac:dyDescent="0.4">
      <c r="A6" s="3"/>
      <c r="B6" s="148" t="s">
        <v>21</v>
      </c>
      <c r="C6" s="151">
        <f>CV_Int</f>
        <v>4.4999999999999998E-2</v>
      </c>
      <c r="D6" s="149" t="s">
        <v>163</v>
      </c>
      <c r="E6" s="150">
        <f>End_Age</f>
        <v>80</v>
      </c>
      <c r="F6" s="168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x14ac:dyDescent="0.4">
      <c r="A7" s="3"/>
      <c r="B7" s="148" t="s">
        <v>63</v>
      </c>
      <c r="C7" s="149">
        <f ca="1">Gross_Premium</f>
        <v>637.33920027385614</v>
      </c>
      <c r="D7" s="149" t="s">
        <v>64</v>
      </c>
      <c r="E7" s="150">
        <f>AB_rate</f>
        <v>1.19</v>
      </c>
      <c r="F7" s="168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4">
      <c r="A8" s="3"/>
      <c r="B8" s="148" t="s">
        <v>65</v>
      </c>
      <c r="C8" s="149">
        <f>Face_Amt</f>
        <v>1000</v>
      </c>
      <c r="D8" s="149" t="s">
        <v>66</v>
      </c>
      <c r="E8" s="150">
        <f>GB_rate</f>
        <v>1.19</v>
      </c>
      <c r="F8" s="168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4">
      <c r="A9" s="3"/>
      <c r="B9" s="202"/>
      <c r="C9" s="203"/>
      <c r="D9" s="204" t="s">
        <v>8</v>
      </c>
      <c r="E9" s="152" t="s">
        <v>111</v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x14ac:dyDescent="0.4">
      <c r="A10" s="3"/>
      <c r="B10" s="207" t="s">
        <v>67</v>
      </c>
      <c r="C10" s="208"/>
      <c r="D10" s="165">
        <f ca="1">Gross_Premium</f>
        <v>637.33920027385614</v>
      </c>
      <c r="E10" s="166">
        <f ca="1">$E$11*SUM(R18:R124)/(SUM(R18:R124)-SUM(S18:S124))</f>
        <v>297.28686327066333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x14ac:dyDescent="0.4">
      <c r="A11" s="3"/>
      <c r="B11" s="205" t="s">
        <v>68</v>
      </c>
      <c r="C11" s="206"/>
      <c r="D11" s="156">
        <f ca="1">Prem!E11</f>
        <v>590.97162678565735</v>
      </c>
      <c r="E11" s="167">
        <f ca="1">(SUM(P18:P124)+SUM(Q18:Q124))/SUM(R18:R124)</f>
        <v>255.74194856342964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x14ac:dyDescent="0.4">
      <c r="A12" s="168"/>
      <c r="B12" s="168"/>
      <c r="C12" s="168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x14ac:dyDescent="0.4">
      <c r="A13" s="168"/>
      <c r="B13" s="168"/>
      <c r="C13" s="168"/>
      <c r="D13" s="3"/>
      <c r="E13" s="3"/>
      <c r="F13" s="3"/>
      <c r="G13" s="3"/>
      <c r="H13" s="172" t="s">
        <v>69</v>
      </c>
      <c r="I13" s="172" t="s">
        <v>69</v>
      </c>
      <c r="J13" s="172" t="s">
        <v>70</v>
      </c>
      <c r="K13" s="172" t="s">
        <v>70</v>
      </c>
      <c r="L13" s="172" t="s">
        <v>69</v>
      </c>
      <c r="M13" s="172" t="s">
        <v>70</v>
      </c>
      <c r="N13" s="172" t="s">
        <v>70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4">
      <c r="A14" s="168"/>
      <c r="B14" s="169"/>
      <c r="C14" s="168"/>
      <c r="D14" s="168"/>
      <c r="E14" s="168"/>
      <c r="F14" s="169"/>
      <c r="G14" s="169"/>
      <c r="H14" s="169"/>
      <c r="I14" s="168"/>
      <c r="J14" s="168"/>
      <c r="K14" s="168"/>
      <c r="L14" s="169"/>
      <c r="M14" s="169"/>
      <c r="N14" s="169"/>
      <c r="O14" s="168"/>
      <c r="P14" s="168"/>
      <c r="Q14" s="168"/>
      <c r="R14" s="169"/>
      <c r="S14" s="168"/>
      <c r="T14" s="3"/>
      <c r="U14" s="3"/>
      <c r="V14" s="3"/>
      <c r="W14" s="3"/>
      <c r="X14" s="3"/>
      <c r="Y14" s="3"/>
      <c r="Z14" s="3"/>
    </row>
    <row r="15" spans="1:26" x14ac:dyDescent="0.4">
      <c r="A15" s="173"/>
      <c r="B15" s="174"/>
      <c r="C15" s="175" t="s">
        <v>71</v>
      </c>
      <c r="D15" s="176" t="s">
        <v>72</v>
      </c>
      <c r="E15" s="177"/>
      <c r="F15" s="176" t="s">
        <v>73</v>
      </c>
      <c r="G15" s="177"/>
      <c r="H15" s="176" t="s">
        <v>112</v>
      </c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7"/>
      <c r="T15" s="176" t="s">
        <v>11</v>
      </c>
      <c r="U15" s="178"/>
      <c r="V15" s="178"/>
      <c r="W15" s="178"/>
      <c r="X15" s="178"/>
      <c r="Y15" s="178"/>
      <c r="Z15" s="177"/>
    </row>
    <row r="16" spans="1:26" x14ac:dyDescent="0.4">
      <c r="A16" s="191" t="s">
        <v>75</v>
      </c>
      <c r="B16" s="192" t="s">
        <v>76</v>
      </c>
      <c r="C16" s="193" t="s">
        <v>77</v>
      </c>
      <c r="D16" s="191" t="s">
        <v>78</v>
      </c>
      <c r="E16" s="194" t="s">
        <v>79</v>
      </c>
      <c r="F16" s="191" t="s">
        <v>80</v>
      </c>
      <c r="G16" s="194" t="s">
        <v>78</v>
      </c>
      <c r="H16" s="191" t="s">
        <v>81</v>
      </c>
      <c r="I16" s="195" t="s">
        <v>82</v>
      </c>
      <c r="J16" s="195" t="s">
        <v>83</v>
      </c>
      <c r="K16" s="195" t="s">
        <v>84</v>
      </c>
      <c r="L16" s="196" t="s">
        <v>113</v>
      </c>
      <c r="M16" s="196" t="s">
        <v>114</v>
      </c>
      <c r="N16" s="196" t="s">
        <v>115</v>
      </c>
      <c r="O16" s="196"/>
      <c r="P16" s="196" t="s">
        <v>116</v>
      </c>
      <c r="Q16" s="196" t="s">
        <v>117</v>
      </c>
      <c r="R16" s="196" t="s">
        <v>118</v>
      </c>
      <c r="S16" s="194" t="s">
        <v>118</v>
      </c>
      <c r="T16" s="191"/>
      <c r="U16" s="196" t="s">
        <v>119</v>
      </c>
      <c r="V16" s="196" t="s">
        <v>120</v>
      </c>
      <c r="W16" s="197" t="s">
        <v>121</v>
      </c>
      <c r="X16" s="196" t="s">
        <v>122</v>
      </c>
      <c r="Y16" s="196"/>
      <c r="Z16" s="194" t="s">
        <v>122</v>
      </c>
    </row>
    <row r="17" spans="1:26" x14ac:dyDescent="0.4">
      <c r="A17" s="186" t="s">
        <v>91</v>
      </c>
      <c r="B17" s="187" t="s">
        <v>57</v>
      </c>
      <c r="C17" s="188" t="s">
        <v>92</v>
      </c>
      <c r="D17" s="186" t="s">
        <v>93</v>
      </c>
      <c r="E17" s="187" t="s">
        <v>94</v>
      </c>
      <c r="F17" s="186" t="s">
        <v>95</v>
      </c>
      <c r="G17" s="187" t="s">
        <v>96</v>
      </c>
      <c r="H17" s="186" t="s">
        <v>97</v>
      </c>
      <c r="I17" s="198" t="s">
        <v>98</v>
      </c>
      <c r="J17" s="198" t="s">
        <v>99</v>
      </c>
      <c r="K17" s="198" t="s">
        <v>100</v>
      </c>
      <c r="L17" s="198" t="s">
        <v>101</v>
      </c>
      <c r="M17" s="198" t="s">
        <v>102</v>
      </c>
      <c r="N17" s="198" t="s">
        <v>103</v>
      </c>
      <c r="O17" s="198" t="s">
        <v>104</v>
      </c>
      <c r="P17" s="198" t="s">
        <v>105</v>
      </c>
      <c r="Q17" s="198" t="s">
        <v>106</v>
      </c>
      <c r="R17" s="198" t="s">
        <v>107</v>
      </c>
      <c r="S17" s="187" t="s">
        <v>108</v>
      </c>
      <c r="T17" s="186" t="s">
        <v>123</v>
      </c>
      <c r="U17" s="198" t="s">
        <v>124</v>
      </c>
      <c r="V17" s="198" t="s">
        <v>125</v>
      </c>
      <c r="W17" s="198" t="s">
        <v>126</v>
      </c>
      <c r="X17" s="198" t="s">
        <v>127</v>
      </c>
      <c r="Y17" s="199" t="s">
        <v>128</v>
      </c>
      <c r="Z17" s="187" t="s">
        <v>129</v>
      </c>
    </row>
    <row r="18" spans="1:26" x14ac:dyDescent="0.4">
      <c r="A18" s="168">
        <f t="shared" ref="A18:A49" si="0">IF(B18&lt;=Age+B,B18-Age+1,"")</f>
        <v>1</v>
      </c>
      <c r="B18" s="168">
        <f>IFERROR(IF(AND(Age&gt;=0,Age&lt;=60),Age,""),"")</f>
        <v>20</v>
      </c>
      <c r="C18" s="168">
        <f ca="1">IFERROR(MIN(VLOOKUP(B18,INDIRECT("mort_alb_"&amp;Cover!$J$4),IF(Sex="M",2,3))/1000,1)*Mort_Int,"")</f>
        <v>1.64E-4</v>
      </c>
      <c r="D18" s="168">
        <f t="shared" ref="D18:D81" ca="1" si="1">IFERROR(E18*C18,"")</f>
        <v>1.64E-4</v>
      </c>
      <c r="E18" s="168">
        <f t="shared" ref="E18:E49" si="2">IFERROR(IF(B18&lt;=Age+B,IF(A18=1,1,E17-D17),""),"")</f>
        <v>1</v>
      </c>
      <c r="F18" s="168">
        <f t="shared" ref="F18:F49" ca="1" si="3">IFERROR(D18/(1+CV_Int)^(B18+1),"")</f>
        <v>6.5073137787819964E-5</v>
      </c>
      <c r="G18" s="168">
        <f t="shared" ref="G18:G49" si="4">IFERROR(E18/(1+CV_Int)^B18,"")</f>
        <v>0.41464285968458453</v>
      </c>
      <c r="H18" s="168">
        <f>Prem!H18</f>
        <v>1</v>
      </c>
      <c r="I18" s="168">
        <f>Prem!I18</f>
        <v>0</v>
      </c>
      <c r="J18" s="168">
        <f>Prem!J18</f>
        <v>0</v>
      </c>
      <c r="K18" s="168">
        <f>Prem!K18</f>
        <v>1</v>
      </c>
      <c r="L18" s="168">
        <f>Prem!L18</f>
        <v>0</v>
      </c>
      <c r="M18" s="168">
        <f>Prem!M18</f>
        <v>0</v>
      </c>
      <c r="N18" s="168">
        <f ca="1">IFERROR(IF(B18&lt;=Age+B,MAX(MIN(A18,PPP)*$E$10,CV!Z19+L19)*K18,""),"")</f>
        <v>297.28686327066333</v>
      </c>
      <c r="O18" s="171" cm="1">
        <f t="array" ref="O18">IFERROR(IF(B18&lt;=Age+B,VLOOKUP(IF(PPP&lt;20,PPP,"20+"),Exp_load_CV,_xlfn.IFS(A18=1,1,A18=2,2,A18=3,3,AND(A18&gt;=4,A18&lt;=10),4,AND(A18&gt;=11,A18&lt;=PPP),5,A18&gt;PPP,6)+1,FALSE),""),"")</f>
        <v>0.45</v>
      </c>
      <c r="P18" s="168">
        <f t="shared" ref="P18:P49" ca="1" si="5">IFERROR(IF(B18&lt;=Age+B,(M18+N18)*F18,""),"")</f>
        <v>1.9345389016120668E-2</v>
      </c>
      <c r="Q18" s="168">
        <f t="shared" ref="Q18:Q49" si="6">IFERROR(IF(B18&lt;=Age+B,L18*G18,""),"")</f>
        <v>0</v>
      </c>
      <c r="R18" s="168">
        <f t="shared" ref="R18:R49" si="7">IFERROR(IF(B18&lt;=Age+B,H18*G18,""),"")</f>
        <v>0.41464285968458453</v>
      </c>
      <c r="S18" s="168">
        <f t="shared" ref="S18:S49" si="8">IFERROR(IF(B18&lt;=Age+B,R18*O18,""),"")</f>
        <v>0.18658928685806303</v>
      </c>
      <c r="T18" s="168">
        <f t="shared" ref="T18:T49" ca="1" si="9">IFERROR(IF(B18&lt;=Age+B,$E$10*(1-O18)*H18,""),"")</f>
        <v>163.50777479886486</v>
      </c>
      <c r="U18" s="168">
        <f t="shared" ref="U18:U49" ca="1" si="10">IFERROR(IF(B18&lt;=Age+B,(N18+M18)*F18,""),"")</f>
        <v>1.9345389016120668E-2</v>
      </c>
      <c r="V18" s="168">
        <f t="shared" ref="V18:V49" si="11">IFERROR(IF(B18&lt;=Age+B,L18*G18,""),"")</f>
        <v>0</v>
      </c>
      <c r="W18" s="168">
        <f t="shared" ref="W18:W49" ca="1" si="12">IFERROR(IF(B18&lt;=Age+B,T18*R18,""),"")</f>
        <v>67.797331323264373</v>
      </c>
      <c r="X18" s="168">
        <f ca="1">IFERROR(IF(B18&lt;=Age+B,IF(B18&lt;=Begin_Age,(SUM(U18:$U$124)+SUM(V18:$V$124)-SUM(W18:$W$124))/G18,0),""),"")</f>
        <v>-8.6092564265407482E-11</v>
      </c>
      <c r="Y18" s="168">
        <f t="shared" ref="Y18:Y49" si="13">IFERROR(IF(B18&lt;=Age+B,IF(A18&lt;MIN(20,PPP)+1,0.9+0.1*(A18-1)/MIN(20,PPP),1),""),"")</f>
        <v>0.9</v>
      </c>
      <c r="Z18" s="168">
        <f t="shared" ref="Z18:Z49" ca="1" si="14">IFERROR(IF(B18&lt;=Age+B,Y18*MAX(X18-L18,0),""),"")</f>
        <v>0</v>
      </c>
    </row>
    <row r="19" spans="1:26" x14ac:dyDescent="0.4">
      <c r="A19" s="168">
        <f t="shared" si="0"/>
        <v>2</v>
      </c>
      <c r="B19" s="168">
        <f t="shared" ref="B19:B50" si="15">IFERROR(IF(AND(Age&gt;=0,Age&lt;=60),IF(B18+1&lt;=Age+B,B18+1,""),""),"")</f>
        <v>21</v>
      </c>
      <c r="C19" s="168">
        <f ca="1">IFERROR(MIN(VLOOKUP(B19,INDIRECT("mort_alb_"&amp;Cover!$J$4),IF(Sex="M",2,3))/1000,1)*Mort_Int,"")</f>
        <v>1.7440000000000001E-4</v>
      </c>
      <c r="D19" s="168">
        <f t="shared" ca="1" si="1"/>
        <v>1.7437139839999999E-4</v>
      </c>
      <c r="E19" s="168">
        <f t="shared" ca="1" si="2"/>
        <v>0.99983599999999995</v>
      </c>
      <c r="F19" s="168">
        <f t="shared" ca="1" si="3"/>
        <v>6.6208974409721395E-5</v>
      </c>
      <c r="G19" s="168">
        <f t="shared" ca="1" si="4"/>
        <v>0.39672235239769971</v>
      </c>
      <c r="H19" s="168">
        <f>Prem!H19</f>
        <v>1</v>
      </c>
      <c r="I19" s="168">
        <f>Prem!I19</f>
        <v>0</v>
      </c>
      <c r="J19" s="168">
        <f>Prem!J19</f>
        <v>0</v>
      </c>
      <c r="K19" s="168">
        <f>Prem!K19</f>
        <v>1</v>
      </c>
      <c r="L19" s="168">
        <f>Prem!L19</f>
        <v>0</v>
      </c>
      <c r="M19" s="168">
        <f>Prem!M19</f>
        <v>0</v>
      </c>
      <c r="N19" s="168">
        <f ca="1">IFERROR(IF(B19&lt;=Age+B,MAX(MIN(A19,PPP)*$E$10,CV!Z20+L20)*K19,""),"")</f>
        <v>594.57372654132666</v>
      </c>
      <c r="O19" s="171" cm="1">
        <f t="array" ref="O19">IFERROR(IF(B19&lt;=Age+B,VLOOKUP(IF(PPP&lt;20,PPP,"20+"),Exp_load_CV,_xlfn.IFS(A19=1,1,A19=2,2,A19=3,3,AND(A19&gt;=4,A19&lt;=10),4,AND(A19&gt;=11,A19&lt;=PPP),5,A19&gt;PPP,6)+1,FALSE),""),"")</f>
        <v>0.25</v>
      </c>
      <c r="P19" s="168">
        <f t="shared" ca="1" si="5"/>
        <v>3.9366116645267381E-2</v>
      </c>
      <c r="Q19" s="168">
        <f t="shared" ca="1" si="6"/>
        <v>0</v>
      </c>
      <c r="R19" s="168">
        <f t="shared" ca="1" si="7"/>
        <v>0.39672235239769971</v>
      </c>
      <c r="S19" s="168">
        <f t="shared" ca="1" si="8"/>
        <v>9.9180588099424927E-2</v>
      </c>
      <c r="T19" s="168">
        <f t="shared" ca="1" si="9"/>
        <v>222.96514745299748</v>
      </c>
      <c r="U19" s="168">
        <f t="shared" ca="1" si="10"/>
        <v>3.9366116645267381E-2</v>
      </c>
      <c r="V19" s="168">
        <f t="shared" ca="1" si="11"/>
        <v>0</v>
      </c>
      <c r="W19" s="168">
        <f t="shared" ca="1" si="12"/>
        <v>88.45525780025315</v>
      </c>
      <c r="X19" s="168">
        <f ca="1">IFERROR(IF(B19&lt;=Age+B,IF(B19&lt;=Begin_Age,(SUM(U19:$U$124)+SUM(V19:$V$124)-SUM(W19:$W$124))/G19,0),""),"")</f>
        <v>170.84488818081857</v>
      </c>
      <c r="Y19" s="168">
        <f t="shared" si="13"/>
        <v>0.90500000000000003</v>
      </c>
      <c r="Z19" s="168">
        <f t="shared" ca="1" si="14"/>
        <v>154.61462380364082</v>
      </c>
    </row>
    <row r="20" spans="1:26" x14ac:dyDescent="0.4">
      <c r="A20" s="168">
        <f t="shared" si="0"/>
        <v>3</v>
      </c>
      <c r="B20" s="168">
        <f t="shared" si="15"/>
        <v>22</v>
      </c>
      <c r="C20" s="168">
        <f ca="1">IFERROR(MIN(VLOOKUP(B20,INDIRECT("mort_alb_"&amp;Cover!$J$4),IF(Sex="M",2,3))/1000,1)*Mort_Int,"")</f>
        <v>1.8480000000000002E-4</v>
      </c>
      <c r="D20" s="168">
        <f t="shared" ca="1" si="1"/>
        <v>1.8473746896557569E-4</v>
      </c>
      <c r="E20" s="168">
        <f t="shared" ca="1" si="2"/>
        <v>0.99966162860159991</v>
      </c>
      <c r="F20" s="168">
        <f t="shared" ca="1" si="3"/>
        <v>6.7124383334440907E-5</v>
      </c>
      <c r="G20" s="168">
        <f t="shared" ca="1" si="4"/>
        <v>0.37957240576023127</v>
      </c>
      <c r="H20" s="168">
        <f>Prem!H20</f>
        <v>1</v>
      </c>
      <c r="I20" s="168">
        <f>Prem!I20</f>
        <v>0</v>
      </c>
      <c r="J20" s="168">
        <f>Prem!J20</f>
        <v>0</v>
      </c>
      <c r="K20" s="168">
        <f>Prem!K20</f>
        <v>1</v>
      </c>
      <c r="L20" s="168">
        <f>Prem!L20</f>
        <v>0</v>
      </c>
      <c r="M20" s="168">
        <f>Prem!M20</f>
        <v>0</v>
      </c>
      <c r="N20" s="168">
        <f ca="1">IFERROR(IF(B20&lt;=Age+B,MAX(MIN(A20,PPP)*$E$10,CV!Z21+L21)*K20,""),"")</f>
        <v>891.86058981198994</v>
      </c>
      <c r="O20" s="171" cm="1">
        <f t="array" ref="O20">IFERROR(IF(B20&lt;=Age+B,VLOOKUP(IF(PPP&lt;20,PPP,"20+"),Exp_load_CV,_xlfn.IFS(A20=1,1,A20=2,2,A20=3,3,AND(A20&gt;=4,A20&lt;=10),4,AND(A20&gt;=11,A20&lt;=PPP),5,A20&gt;PPP,6)+1,FALSE),""),"")</f>
        <v>0.15</v>
      </c>
      <c r="P20" s="168">
        <f t="shared" ca="1" si="5"/>
        <v>5.9865592111420576E-2</v>
      </c>
      <c r="Q20" s="168">
        <f t="shared" ca="1" si="6"/>
        <v>0</v>
      </c>
      <c r="R20" s="168">
        <f t="shared" ca="1" si="7"/>
        <v>0.37957240576023127</v>
      </c>
      <c r="S20" s="168">
        <f t="shared" ca="1" si="8"/>
        <v>5.6935860864034689E-2</v>
      </c>
      <c r="T20" s="168">
        <f t="shared" ca="1" si="9"/>
        <v>252.69383378006381</v>
      </c>
      <c r="U20" s="168">
        <f t="shared" ca="1" si="10"/>
        <v>5.9865592111420576E-2</v>
      </c>
      <c r="V20" s="168">
        <f t="shared" ca="1" si="11"/>
        <v>0</v>
      </c>
      <c r="W20" s="168">
        <f t="shared" ca="1" si="12"/>
        <v>95.915606408674819</v>
      </c>
      <c r="X20" s="168">
        <f ca="1">IFERROR(IF(B20&lt;=Age+B,IF(B20&lt;=Begin_Age,(SUM(U20:$U$124)+SUM(V20:$V$124)-SUM(W20:$W$124))/G20,0),""),"")</f>
        <v>411.49955910254903</v>
      </c>
      <c r="Y20" s="168">
        <f t="shared" si="13"/>
        <v>0.91</v>
      </c>
      <c r="Z20" s="168">
        <f t="shared" ca="1" si="14"/>
        <v>374.46459878331962</v>
      </c>
    </row>
    <row r="21" spans="1:26" x14ac:dyDescent="0.4">
      <c r="A21" s="168">
        <f t="shared" si="0"/>
        <v>4</v>
      </c>
      <c r="B21" s="168">
        <f t="shared" si="15"/>
        <v>23</v>
      </c>
      <c r="C21" s="168">
        <f ca="1">IFERROR(MIN(VLOOKUP(B21,INDIRECT("mort_alb_"&amp;Cover!$J$4),IF(Sex="M",2,3))/1000,1)*Mort_Int,"")</f>
        <v>1.9440000000000001E-4</v>
      </c>
      <c r="D21" s="168">
        <f t="shared" ca="1" si="1"/>
        <v>1.9429830763618413E-4</v>
      </c>
      <c r="E21" s="168">
        <f t="shared" ca="1" si="2"/>
        <v>0.99947689113263438</v>
      </c>
      <c r="F21" s="168">
        <f t="shared" ca="1" si="3"/>
        <v>6.7558196465798267E-5</v>
      </c>
      <c r="G21" s="168">
        <f t="shared" ca="1" si="4"/>
        <v>0.36316005816234143</v>
      </c>
      <c r="H21" s="168">
        <f>Prem!H21</f>
        <v>1</v>
      </c>
      <c r="I21" s="168">
        <f>Prem!I21</f>
        <v>0</v>
      </c>
      <c r="J21" s="168">
        <f>Prem!J21</f>
        <v>0</v>
      </c>
      <c r="K21" s="168">
        <f>Prem!K21</f>
        <v>1</v>
      </c>
      <c r="L21" s="168">
        <f>Prem!L21</f>
        <v>0</v>
      </c>
      <c r="M21" s="168">
        <f>Prem!M21</f>
        <v>0</v>
      </c>
      <c r="N21" s="168">
        <f ca="1">IFERROR(IF(B21&lt;=Age+B,MAX(MIN(A21,PPP)*$E$10,CV!Z22+L22)*K21,""),"")</f>
        <v>1189.1474530826533</v>
      </c>
      <c r="O21" s="171" cm="1">
        <f t="array" ref="O21">IFERROR(IF(B21&lt;=Age+B,VLOOKUP(IF(PPP&lt;20,PPP,"20+"),Exp_load_CV,_xlfn.IFS(A21=1,1,A21=2,2,A21=3,3,AND(A21&gt;=4,A21&lt;=10),4,AND(A21&gt;=11,A21&lt;=PPP),5,A21&gt;PPP,6)+1,FALSE),""),"")</f>
        <v>0.1</v>
      </c>
      <c r="P21" s="168">
        <f t="shared" ca="1" si="5"/>
        <v>8.033665726216152E-2</v>
      </c>
      <c r="Q21" s="168">
        <f t="shared" ca="1" si="6"/>
        <v>0</v>
      </c>
      <c r="R21" s="168">
        <f t="shared" ca="1" si="7"/>
        <v>0.36316005816234143</v>
      </c>
      <c r="S21" s="168">
        <f t="shared" ca="1" si="8"/>
        <v>3.6316005816234141E-2</v>
      </c>
      <c r="T21" s="168">
        <f ca="1">IFERROR(IF(B21&lt;=Age+B,$E$10*(1-O21)*H21,""),"")</f>
        <v>267.558176943597</v>
      </c>
      <c r="U21" s="168">
        <f t="shared" ca="1" si="10"/>
        <v>8.033665726216152E-2</v>
      </c>
      <c r="V21" s="168">
        <f t="shared" ca="1" si="11"/>
        <v>0</v>
      </c>
      <c r="W21" s="168">
        <f t="shared" ca="1" si="12"/>
        <v>97.166443100646731</v>
      </c>
      <c r="X21" s="168">
        <f ca="1">IFERROR(IF(B21&lt;=Age+B,IF(B21&lt;=Begin_Age,(SUM(U21:$U$124)+SUM(V21:$V$124)-SUM(W21:$W$124))/G21,0),""),"")</f>
        <v>694.04553934101591</v>
      </c>
      <c r="Y21" s="168">
        <f t="shared" si="13"/>
        <v>0.91500000000000004</v>
      </c>
      <c r="Z21" s="168">
        <f t="shared" ca="1" si="14"/>
        <v>635.0516684970296</v>
      </c>
    </row>
    <row r="22" spans="1:26" x14ac:dyDescent="0.4">
      <c r="A22" s="168">
        <f t="shared" si="0"/>
        <v>5</v>
      </c>
      <c r="B22" s="168">
        <f t="shared" si="15"/>
        <v>24</v>
      </c>
      <c r="C22" s="168">
        <f ca="1">IFERROR(MIN(VLOOKUP(B22,INDIRECT("mort_alb_"&amp;Cover!$J$4),IF(Sex="M",2,3))/1000,1)*Mort_Int,"")</f>
        <v>2.0320000000000001E-4</v>
      </c>
      <c r="D22" s="168">
        <f t="shared" ca="1" si="1"/>
        <v>2.0305422286203965E-4</v>
      </c>
      <c r="E22" s="168">
        <f t="shared" ca="1" si="2"/>
        <v>0.99928259282499821</v>
      </c>
      <c r="F22" s="168">
        <f t="shared" ca="1" si="3"/>
        <v>6.7562352730860065E-5</v>
      </c>
      <c r="G22" s="168">
        <f t="shared" ca="1" si="4"/>
        <v>0.34745402856175572</v>
      </c>
      <c r="H22" s="168">
        <f>Prem!H22</f>
        <v>1</v>
      </c>
      <c r="I22" s="168">
        <f>Prem!I22</f>
        <v>0</v>
      </c>
      <c r="J22" s="168">
        <f>Prem!J22</f>
        <v>0</v>
      </c>
      <c r="K22" s="168">
        <f>Prem!K22</f>
        <v>1</v>
      </c>
      <c r="L22" s="168">
        <f>Prem!L22</f>
        <v>0</v>
      </c>
      <c r="M22" s="168">
        <f>Prem!M22</f>
        <v>0</v>
      </c>
      <c r="N22" s="168">
        <f ca="1">IFERROR(IF(B22&lt;=Age+B,MAX(MIN(A22,PPP)*$E$10,CV!Z23+L23)*K22,""),"")</f>
        <v>1486.4343163533167</v>
      </c>
      <c r="O22" s="171" cm="1">
        <f t="array" ref="O22">IFERROR(IF(B22&lt;=Age+B,VLOOKUP(IF(PPP&lt;20,PPP,"20+"),Exp_load_CV,_xlfn.IFS(A22=1,1,A22=2,2,A22=3,3,AND(A22&gt;=4,A22&lt;=10),4,AND(A22&gt;=11,A22&lt;=PPP),5,A22&gt;PPP,6)+1,FALSE),""),"")</f>
        <v>0.1</v>
      </c>
      <c r="P22" s="168">
        <f t="shared" ca="1" si="5"/>
        <v>0.10042699959271763</v>
      </c>
      <c r="Q22" s="168">
        <f t="shared" ca="1" si="6"/>
        <v>0</v>
      </c>
      <c r="R22" s="168">
        <f t="shared" ca="1" si="7"/>
        <v>0.34745402856175572</v>
      </c>
      <c r="S22" s="168">
        <f t="shared" ca="1" si="8"/>
        <v>3.4745402856175577E-2</v>
      </c>
      <c r="T22" s="168">
        <f t="shared" ca="1" si="9"/>
        <v>267.558176943597</v>
      </c>
      <c r="U22" s="168">
        <f t="shared" ca="1" si="10"/>
        <v>0.10042699959271763</v>
      </c>
      <c r="V22" s="168">
        <f t="shared" ca="1" si="11"/>
        <v>0</v>
      </c>
      <c r="W22" s="168">
        <f t="shared" ca="1" si="12"/>
        <v>92.964166453691846</v>
      </c>
      <c r="X22" s="168">
        <f ca="1">IFERROR(IF(B22&lt;=Age+B,IF(B22&lt;=Begin_Age,(SUM(U22:$U$124)+SUM(V22:$V$124)-SUM(W22:$W$124))/G22,0),""),"")</f>
        <v>1004.840054159082</v>
      </c>
      <c r="Y22" s="168">
        <f t="shared" si="13"/>
        <v>0.92</v>
      </c>
      <c r="Z22" s="168">
        <f t="shared" ca="1" si="14"/>
        <v>924.45284982635553</v>
      </c>
    </row>
    <row r="23" spans="1:26" x14ac:dyDescent="0.4">
      <c r="A23" s="168">
        <f t="shared" si="0"/>
        <v>6</v>
      </c>
      <c r="B23" s="168">
        <f t="shared" si="15"/>
        <v>25</v>
      </c>
      <c r="C23" s="168">
        <f ca="1">IFERROR(MIN(VLOOKUP(B23,INDIRECT("mort_alb_"&amp;Cover!$J$4),IF(Sex="M",2,3))/1000,1)*Mort_Int,"")</f>
        <v>2.1280000000000002E-4</v>
      </c>
      <c r="D23" s="168">
        <f t="shared" ca="1" si="1"/>
        <v>2.126041258145346E-4</v>
      </c>
      <c r="E23" s="168">
        <f t="shared" ca="1" si="2"/>
        <v>0.99907953860213616</v>
      </c>
      <c r="F23" s="168">
        <f t="shared" ca="1" si="3"/>
        <v>6.7693681950679497E-5</v>
      </c>
      <c r="G23" s="168">
        <f t="shared" ca="1" si="4"/>
        <v>0.33242433100780094</v>
      </c>
      <c r="H23" s="168">
        <f>Prem!H23</f>
        <v>1</v>
      </c>
      <c r="I23" s="168">
        <f>Prem!I23</f>
        <v>0</v>
      </c>
      <c r="J23" s="168">
        <f>Prem!J23</f>
        <v>0</v>
      </c>
      <c r="K23" s="168">
        <f>Prem!K23</f>
        <v>1</v>
      </c>
      <c r="L23" s="168">
        <f>Prem!L23</f>
        <v>0</v>
      </c>
      <c r="M23" s="168">
        <f>Prem!M23</f>
        <v>0</v>
      </c>
      <c r="N23" s="168">
        <f ca="1">IFERROR(IF(B23&lt;=Age+B,MAX(MIN(A23,PPP)*$E$10,CV!Z24+L24)*K23,""),"")</f>
        <v>1783.7211796239799</v>
      </c>
      <c r="O23" s="171" cm="1">
        <f t="array" ref="O23">IFERROR(IF(B23&lt;=Age+B,VLOOKUP(IF(PPP&lt;20,PPP,"20+"),Exp_load_CV,_xlfn.IFS(A23=1,1,A23=2,2,A23=3,3,AND(A23&gt;=4,A23&lt;=10),4,AND(A23&gt;=11,A23&lt;=PPP),5,A23&gt;PPP,6)+1,FALSE),""),"")</f>
        <v>0.1</v>
      </c>
      <c r="P23" s="168">
        <f t="shared" ca="1" si="5"/>
        <v>0.12074665422215655</v>
      </c>
      <c r="Q23" s="168">
        <f t="shared" ca="1" si="6"/>
        <v>0</v>
      </c>
      <c r="R23" s="168">
        <f t="shared" ca="1" si="7"/>
        <v>0.33242433100780094</v>
      </c>
      <c r="S23" s="168">
        <f t="shared" ca="1" si="8"/>
        <v>3.3242433100780094E-2</v>
      </c>
      <c r="T23" s="168">
        <f t="shared" ca="1" si="9"/>
        <v>267.558176943597</v>
      </c>
      <c r="U23" s="168">
        <f t="shared" ca="1" si="10"/>
        <v>0.12074665422215655</v>
      </c>
      <c r="V23" s="168">
        <f t="shared" ca="1" si="11"/>
        <v>0</v>
      </c>
      <c r="W23" s="168">
        <f t="shared" ca="1" si="12"/>
        <v>88.942847976142062</v>
      </c>
      <c r="X23" s="168">
        <f ca="1">IFERROR(IF(B23&lt;=Age+B,IF(B23&lt;=Begin_Age,(SUM(U23:$U$124)+SUM(V23:$V$124)-SUM(W23:$W$124))/G23,0),""),"")</f>
        <v>1329.6242877044911</v>
      </c>
      <c r="Y23" s="168">
        <f t="shared" si="13"/>
        <v>0.92500000000000004</v>
      </c>
      <c r="Z23" s="168">
        <f t="shared" ca="1" si="14"/>
        <v>1229.9024661266542</v>
      </c>
    </row>
    <row r="24" spans="1:26" x14ac:dyDescent="0.4">
      <c r="A24" s="168">
        <f t="shared" si="0"/>
        <v>7</v>
      </c>
      <c r="B24" s="168">
        <f t="shared" si="15"/>
        <v>26</v>
      </c>
      <c r="C24" s="168">
        <f ca="1">IFERROR(MIN(VLOOKUP(B24,INDIRECT("mort_alb_"&amp;Cover!$J$4),IF(Sex="M",2,3))/1000,1)*Mort_Int,"")</f>
        <v>2.232E-4</v>
      </c>
      <c r="D24" s="168">
        <f t="shared" ca="1" si="1"/>
        <v>2.2294709977511499E-4</v>
      </c>
      <c r="E24" s="168">
        <f t="shared" ca="1" si="2"/>
        <v>0.99886693447632158</v>
      </c>
      <c r="F24" s="168">
        <f t="shared" ca="1" si="3"/>
        <v>6.7930057952691821E-5</v>
      </c>
      <c r="G24" s="168">
        <f t="shared" ca="1" si="4"/>
        <v>0.31804171398101683</v>
      </c>
      <c r="H24" s="168">
        <f>Prem!H24</f>
        <v>1</v>
      </c>
      <c r="I24" s="168">
        <f>Prem!I24</f>
        <v>0</v>
      </c>
      <c r="J24" s="168">
        <f>Prem!J24</f>
        <v>0</v>
      </c>
      <c r="K24" s="168">
        <f>Prem!K24</f>
        <v>1</v>
      </c>
      <c r="L24" s="168">
        <f>Prem!L24</f>
        <v>0</v>
      </c>
      <c r="M24" s="168">
        <f>Prem!M24</f>
        <v>0</v>
      </c>
      <c r="N24" s="168">
        <f ca="1">IFERROR(IF(B24&lt;=Age+B,MAX(MIN(A24,PPP)*$E$10,CV!Z25+L25)*K24,""),"")</f>
        <v>2081.0080428946435</v>
      </c>
      <c r="O24" s="171" cm="1">
        <f t="array" ref="O24">IFERROR(IF(B24&lt;=Age+B,VLOOKUP(IF(PPP&lt;20,PPP,"20+"),Exp_load_CV,_xlfn.IFS(A24=1,1,A24=2,2,A24=3,3,AND(A24&gt;=4,A24&lt;=10),4,AND(A24&gt;=11,A24&lt;=PPP),5,A24&gt;PPP,6)+1,FALSE),""),"")</f>
        <v>0.1</v>
      </c>
      <c r="P24" s="168">
        <f t="shared" ca="1" si="5"/>
        <v>0.14136299695385093</v>
      </c>
      <c r="Q24" s="168">
        <f t="shared" ca="1" si="6"/>
        <v>0</v>
      </c>
      <c r="R24" s="168">
        <f t="shared" ca="1" si="7"/>
        <v>0.31804171398101683</v>
      </c>
      <c r="S24" s="168">
        <f t="shared" ca="1" si="8"/>
        <v>3.1804171398101683E-2</v>
      </c>
      <c r="T24" s="168">
        <f t="shared" ca="1" si="9"/>
        <v>267.558176943597</v>
      </c>
      <c r="U24" s="168">
        <f t="shared" ca="1" si="10"/>
        <v>0.14136299695385093</v>
      </c>
      <c r="V24" s="168">
        <f t="shared" ca="1" si="11"/>
        <v>0</v>
      </c>
      <c r="W24" s="168">
        <f t="shared" ca="1" si="12"/>
        <v>85.094661184777763</v>
      </c>
      <c r="X24" s="168">
        <f ca="1">IFERROR(IF(B24&lt;=Age+B,IF(B24&lt;=Begin_Age,(SUM(U24:$U$124)+SUM(V24:$V$124)-SUM(W24:$W$124))/G24,0),""),"")</f>
        <v>1669.0312695443988</v>
      </c>
      <c r="Y24" s="168">
        <f t="shared" si="13"/>
        <v>0.93</v>
      </c>
      <c r="Z24" s="168">
        <f t="shared" ca="1" si="14"/>
        <v>1552.199080676291</v>
      </c>
    </row>
    <row r="25" spans="1:26" x14ac:dyDescent="0.4">
      <c r="A25" s="168">
        <f t="shared" si="0"/>
        <v>8</v>
      </c>
      <c r="B25" s="168">
        <f t="shared" si="15"/>
        <v>27</v>
      </c>
      <c r="C25" s="168">
        <f ca="1">IFERROR(MIN(VLOOKUP(B25,INDIRECT("mort_alb_"&amp;Cover!$J$4),IF(Sex="M",2,3))/1000,1)*Mort_Int,"")</f>
        <v>2.3360000000000001E-4</v>
      </c>
      <c r="D25" s="168">
        <f t="shared" ca="1" si="1"/>
        <v>2.3328323545116126E-4</v>
      </c>
      <c r="E25" s="168">
        <f t="shared" ca="1" si="2"/>
        <v>0.99864398737654647</v>
      </c>
      <c r="F25" s="168">
        <f t="shared" ca="1" si="3"/>
        <v>6.8018554377105472E-5</v>
      </c>
      <c r="G25" s="168">
        <f t="shared" ca="1" si="4"/>
        <v>0.30427820772292463</v>
      </c>
      <c r="H25" s="168">
        <f>Prem!H25</f>
        <v>1</v>
      </c>
      <c r="I25" s="168">
        <f>Prem!I25</f>
        <v>0</v>
      </c>
      <c r="J25" s="168">
        <f>Prem!J25</f>
        <v>0</v>
      </c>
      <c r="K25" s="168">
        <f>Prem!K25</f>
        <v>1</v>
      </c>
      <c r="L25" s="168">
        <f>Prem!L25</f>
        <v>0</v>
      </c>
      <c r="M25" s="168">
        <f>Prem!M25</f>
        <v>0</v>
      </c>
      <c r="N25" s="168">
        <f ca="1">IFERROR(IF(B25&lt;=Age+B,MAX(MIN(A25,PPP)*$E$10,CV!Z26+L26)*K25,""),"")</f>
        <v>2378.2949061653067</v>
      </c>
      <c r="O25" s="171" cm="1">
        <f t="array" ref="O25">IFERROR(IF(B25&lt;=Age+B,VLOOKUP(IF(PPP&lt;20,PPP,"20+"),Exp_load_CV,_xlfn.IFS(A25=1,1,A25=2,2,A25=3,3,AND(A25&gt;=4,A25&lt;=10),4,AND(A25&gt;=11,A25&lt;=PPP),5,A25&gt;PPP,6)+1,FALSE),""),"")</f>
        <v>0.1</v>
      </c>
      <c r="P25" s="168">
        <f t="shared" ca="1" si="5"/>
        <v>0.16176818139979787</v>
      </c>
      <c r="Q25" s="168">
        <f t="shared" ca="1" si="6"/>
        <v>0</v>
      </c>
      <c r="R25" s="168">
        <f t="shared" ca="1" si="7"/>
        <v>0.30427820772292463</v>
      </c>
      <c r="S25" s="168">
        <f t="shared" ca="1" si="8"/>
        <v>3.0427820772292464E-2</v>
      </c>
      <c r="T25" s="168">
        <f t="shared" ca="1" si="9"/>
        <v>267.558176943597</v>
      </c>
      <c r="U25" s="168">
        <f t="shared" ca="1" si="10"/>
        <v>0.16176818139979787</v>
      </c>
      <c r="V25" s="168">
        <f t="shared" ca="1" si="11"/>
        <v>0</v>
      </c>
      <c r="W25" s="168">
        <f t="shared" ca="1" si="12"/>
        <v>81.412122542010835</v>
      </c>
      <c r="X25" s="168">
        <f ca="1">IFERROR(IF(B25&lt;=Age+B,IF(B25&lt;=Begin_Age,(SUM(U25:$U$124)+SUM(V25:$V$124)-SUM(W25:$W$124))/G25,0),""),"")</f>
        <v>2023.72318559982</v>
      </c>
      <c r="Y25" s="168">
        <f t="shared" si="13"/>
        <v>0.93500000000000005</v>
      </c>
      <c r="Z25" s="168">
        <f t="shared" ca="1" si="14"/>
        <v>1892.1811785358318</v>
      </c>
    </row>
    <row r="26" spans="1:26" x14ac:dyDescent="0.4">
      <c r="A26" s="168">
        <f t="shared" si="0"/>
        <v>9</v>
      </c>
      <c r="B26" s="168">
        <f t="shared" si="15"/>
        <v>28</v>
      </c>
      <c r="C26" s="168">
        <f ca="1">IFERROR(MIN(VLOOKUP(B26,INDIRECT("mort_alb_"&amp;Cover!$J$4),IF(Sex="M",2,3))/1000,1)*Mort_Int,"")</f>
        <v>2.4640000000000003E-4</v>
      </c>
      <c r="D26" s="168">
        <f t="shared" ca="1" si="1"/>
        <v>2.4600839750036594E-4</v>
      </c>
      <c r="E26" s="168">
        <f t="shared" ca="1" si="2"/>
        <v>0.99841070414109534</v>
      </c>
      <c r="F26" s="168">
        <f t="shared" ca="1" si="3"/>
        <v>6.8640037015085922E-5</v>
      </c>
      <c r="G26" s="168">
        <f t="shared" ca="1" si="4"/>
        <v>0.29110729984076616</v>
      </c>
      <c r="H26" s="168">
        <f>Prem!H26</f>
        <v>1</v>
      </c>
      <c r="I26" s="168">
        <f>Prem!I26</f>
        <v>0</v>
      </c>
      <c r="J26" s="168">
        <f>Prem!J26</f>
        <v>0</v>
      </c>
      <c r="K26" s="168">
        <f>Prem!K26</f>
        <v>1</v>
      </c>
      <c r="L26" s="168">
        <f>Prem!L26</f>
        <v>0</v>
      </c>
      <c r="M26" s="168">
        <f>Prem!M26</f>
        <v>0</v>
      </c>
      <c r="N26" s="168">
        <f ca="1">IFERROR(IF(B26&lt;=Age+B,MAX(MIN(A26,PPP)*$E$10,CV!Z27+L27)*K26,""),"")</f>
        <v>2675.5817694359698</v>
      </c>
      <c r="O26" s="171" cm="1">
        <f t="array" ref="O26">IFERROR(IF(B26&lt;=Age+B,VLOOKUP(IF(PPP&lt;20,PPP,"20+"),Exp_load_CV,_xlfn.IFS(A26=1,1,A26=2,2,A26=3,3,AND(A26&gt;=4,A26&lt;=10),4,AND(A26&gt;=11,A26&lt;=PPP),5,A26&gt;PPP,6)+1,FALSE),""),"")</f>
        <v>0.1</v>
      </c>
      <c r="P26" s="168">
        <f t="shared" ca="1" si="5"/>
        <v>0.18365203169097405</v>
      </c>
      <c r="Q26" s="168">
        <f t="shared" ca="1" si="6"/>
        <v>0</v>
      </c>
      <c r="R26" s="168">
        <f t="shared" ca="1" si="7"/>
        <v>0.29110729984076616</v>
      </c>
      <c r="S26" s="168">
        <f t="shared" ca="1" si="8"/>
        <v>2.9110729984076617E-2</v>
      </c>
      <c r="T26" s="168">
        <f t="shared" ca="1" si="9"/>
        <v>267.558176943597</v>
      </c>
      <c r="U26" s="168">
        <f t="shared" ca="1" si="10"/>
        <v>0.18365203169097405</v>
      </c>
      <c r="V26" s="168">
        <f t="shared" ca="1" si="11"/>
        <v>0</v>
      </c>
      <c r="W26" s="168">
        <f t="shared" ca="1" si="12"/>
        <v>77.888138440368465</v>
      </c>
      <c r="X26" s="168">
        <f ca="1">IFERROR(IF(B26&lt;=Age+B,IF(B26&lt;=Begin_Age,(SUM(U26:$U$124)+SUM(V26:$V$124)-SUM(W26:$W$124))/G26,0),""),"")</f>
        <v>2394.39278432222</v>
      </c>
      <c r="Y26" s="168">
        <f t="shared" si="13"/>
        <v>0.94000000000000006</v>
      </c>
      <c r="Z26" s="168">
        <f t="shared" ca="1" si="14"/>
        <v>2250.7292172628868</v>
      </c>
    </row>
    <row r="27" spans="1:26" x14ac:dyDescent="0.4">
      <c r="A27" s="168">
        <f t="shared" si="0"/>
        <v>10</v>
      </c>
      <c r="B27" s="168">
        <f t="shared" si="15"/>
        <v>29</v>
      </c>
      <c r="C27" s="168">
        <f ca="1">IFERROR(MIN(VLOOKUP(B27,INDIRECT("mort_alb_"&amp;Cover!$J$4),IF(Sex="M",2,3))/1000,1)*Mort_Int,"")</f>
        <v>2.608E-4</v>
      </c>
      <c r="D27" s="168">
        <f t="shared" ca="1" si="1"/>
        <v>2.6032135264992959E-4</v>
      </c>
      <c r="E27" s="168">
        <f t="shared" ca="1" si="2"/>
        <v>0.99816469574359501</v>
      </c>
      <c r="F27" s="168">
        <f t="shared" ca="1" si="3"/>
        <v>6.9505805194335204E-5</v>
      </c>
      <c r="G27" s="168">
        <f t="shared" ca="1" si="4"/>
        <v>0.27850293875797644</v>
      </c>
      <c r="H27" s="168">
        <f>Prem!H27</f>
        <v>1</v>
      </c>
      <c r="I27" s="168">
        <f>Prem!I27</f>
        <v>0</v>
      </c>
      <c r="J27" s="168">
        <f>Prem!J27</f>
        <v>0</v>
      </c>
      <c r="K27" s="168">
        <f>Prem!K27</f>
        <v>1</v>
      </c>
      <c r="L27" s="168">
        <f>Prem!L27</f>
        <v>0</v>
      </c>
      <c r="M27" s="168">
        <f>Prem!M27</f>
        <v>0</v>
      </c>
      <c r="N27" s="168">
        <f ca="1">IFERROR(IF(B27&lt;=Age+B,MAX(MIN(A27,PPP)*$E$10,CV!Z28+L28)*K27,""),"")</f>
        <v>3027.2549779605401</v>
      </c>
      <c r="O27" s="171" cm="1">
        <f t="array" ref="O27">IFERROR(IF(B27&lt;=Age+B,VLOOKUP(IF(PPP&lt;20,PPP,"20+"),Exp_load_CV,_xlfn.IFS(A27=1,1,A27=2,2,A27=3,3,AND(A27&gt;=4,A27&lt;=10),4,AND(A27&gt;=11,A27&lt;=PPP),5,A27&gt;PPP,6)+1,FALSE),""),"")</f>
        <v>0.1</v>
      </c>
      <c r="P27" s="168">
        <f t="shared" ca="1" si="5"/>
        <v>0.21041179477170682</v>
      </c>
      <c r="Q27" s="168">
        <f t="shared" ca="1" si="6"/>
        <v>0</v>
      </c>
      <c r="R27" s="168">
        <f t="shared" ca="1" si="7"/>
        <v>0.27850293875797644</v>
      </c>
      <c r="S27" s="168">
        <f t="shared" ca="1" si="8"/>
        <v>2.7850293875797644E-2</v>
      </c>
      <c r="T27" s="168">
        <f t="shared" ca="1" si="9"/>
        <v>267.558176943597</v>
      </c>
      <c r="U27" s="168">
        <f t="shared" ca="1" si="10"/>
        <v>0.21041179477170682</v>
      </c>
      <c r="V27" s="168">
        <f t="shared" ca="1" si="11"/>
        <v>0</v>
      </c>
      <c r="W27" s="168">
        <f t="shared" ca="1" si="12"/>
        <v>74.515738567518426</v>
      </c>
      <c r="X27" s="168">
        <f ca="1">IFERROR(IF(B27&lt;=Age+B,IF(B27&lt;=Begin_Age,(SUM(U27:$U$124)+SUM(V27:$V$124)-SUM(W27:$W$124))/G27,0),""),"")</f>
        <v>2781.7649180506296</v>
      </c>
      <c r="Y27" s="168">
        <f t="shared" si="13"/>
        <v>0.94500000000000006</v>
      </c>
      <c r="Z27" s="168">
        <f t="shared" ca="1" si="14"/>
        <v>2628.767847557845</v>
      </c>
    </row>
    <row r="28" spans="1:26" x14ac:dyDescent="0.4">
      <c r="A28" s="168">
        <f t="shared" si="0"/>
        <v>11</v>
      </c>
      <c r="B28" s="168">
        <f t="shared" si="15"/>
        <v>30</v>
      </c>
      <c r="C28" s="168">
        <f ca="1">IFERROR(MIN(VLOOKUP(B28,INDIRECT("mort_alb_"&amp;Cover!$J$4),IF(Sex="M",2,3))/1000,1)*Mort_Int,"")</f>
        <v>2.7839999999999999E-4</v>
      </c>
      <c r="D28" s="168">
        <f t="shared" ca="1" si="1"/>
        <v>2.7781657783043911E-4</v>
      </c>
      <c r="E28" s="168">
        <f t="shared" ca="1" si="2"/>
        <v>0.99790437439094504</v>
      </c>
      <c r="F28" s="168">
        <f t="shared" ca="1" si="3"/>
        <v>7.0982804391224628E-5</v>
      </c>
      <c r="G28" s="168">
        <f t="shared" ca="1" si="4"/>
        <v>0.26644048343688848</v>
      </c>
      <c r="H28" s="168">
        <f>Prem!H28</f>
        <v>1</v>
      </c>
      <c r="I28" s="168">
        <f>Prem!I28</f>
        <v>0</v>
      </c>
      <c r="J28" s="168">
        <f>Prem!J28</f>
        <v>0</v>
      </c>
      <c r="K28" s="168">
        <f>Prem!K28</f>
        <v>1</v>
      </c>
      <c r="L28" s="168">
        <f>Prem!L28</f>
        <v>0</v>
      </c>
      <c r="M28" s="168">
        <f>Prem!M28</f>
        <v>0</v>
      </c>
      <c r="N28" s="168">
        <f ca="1">IFERROR(IF(B28&lt;=Age+B,MAX(MIN(A28,PPP)*$E$10,CV!Z29+L29)*K28,""),"")</f>
        <v>3447.1909123906048</v>
      </c>
      <c r="O28" s="171" cm="1">
        <f t="array" ref="O28">IFERROR(IF(B28&lt;=Age+B,VLOOKUP(IF(PPP&lt;20,PPP,"20+"),Exp_load_CV,_xlfn.IFS(A28=1,1,A28=2,2,A28=3,3,AND(A28&gt;=4,A28&lt;=10),4,AND(A28&gt;=11,A28&lt;=PPP),5,A28&gt;PPP,6)+1,FALSE),""),"")</f>
        <v>0.1</v>
      </c>
      <c r="P28" s="168">
        <f t="shared" ca="1" si="5"/>
        <v>0.24469127823342945</v>
      </c>
      <c r="Q28" s="168">
        <f t="shared" ca="1" si="6"/>
        <v>0</v>
      </c>
      <c r="R28" s="168">
        <f t="shared" ca="1" si="7"/>
        <v>0.26644048343688848</v>
      </c>
      <c r="S28" s="168">
        <f t="shared" ca="1" si="8"/>
        <v>2.6644048343688848E-2</v>
      </c>
      <c r="T28" s="168">
        <f t="shared" ca="1" si="9"/>
        <v>267.558176943597</v>
      </c>
      <c r="U28" s="168">
        <f t="shared" ca="1" si="10"/>
        <v>0.24469127823342945</v>
      </c>
      <c r="V28" s="168">
        <f t="shared" ca="1" si="11"/>
        <v>0</v>
      </c>
      <c r="W28" s="168">
        <f t="shared" ca="1" si="12"/>
        <v>71.288330012344531</v>
      </c>
      <c r="X28" s="168">
        <f ca="1">IFERROR(IF(B28&lt;=Age+B,IF(B28&lt;=Begin_Age,(SUM(U28:$U$124)+SUM(V28:$V$124)-SUM(W28:$W$124))/G28,0),""),"")</f>
        <v>3186.5841873267987</v>
      </c>
      <c r="Y28" s="168">
        <f t="shared" si="13"/>
        <v>0.95000000000000007</v>
      </c>
      <c r="Z28" s="168">
        <f t="shared" ca="1" si="14"/>
        <v>3027.2549779604587</v>
      </c>
    </row>
    <row r="29" spans="1:26" x14ac:dyDescent="0.4">
      <c r="A29" s="168">
        <f t="shared" si="0"/>
        <v>12</v>
      </c>
      <c r="B29" s="168">
        <f t="shared" si="15"/>
        <v>31</v>
      </c>
      <c r="C29" s="168">
        <f ca="1">IFERROR(MIN(VLOOKUP(B29,INDIRECT("mort_alb_"&amp;Cover!$J$4),IF(Sex="M",2,3))/1000,1)*Mort_Int,"")</f>
        <v>2.9840000000000004E-4</v>
      </c>
      <c r="D29" s="168">
        <f t="shared" ca="1" si="1"/>
        <v>2.9769176485143343E-4</v>
      </c>
      <c r="E29" s="168">
        <f t="shared" ca="1" si="2"/>
        <v>0.9976265578131146</v>
      </c>
      <c r="F29" s="168">
        <f t="shared" ca="1" si="3"/>
        <v>7.2785610065373817E-5</v>
      </c>
      <c r="G29" s="168">
        <f t="shared" ca="1" si="4"/>
        <v>0.25489598699167421</v>
      </c>
      <c r="H29" s="168">
        <f>Prem!H29</f>
        <v>1</v>
      </c>
      <c r="I29" s="168">
        <f>Prem!I29</f>
        <v>0</v>
      </c>
      <c r="J29" s="168">
        <f>Prem!J29</f>
        <v>0</v>
      </c>
      <c r="K29" s="168">
        <f>Prem!K29</f>
        <v>1</v>
      </c>
      <c r="L29" s="168">
        <f>Prem!L29</f>
        <v>0</v>
      </c>
      <c r="M29" s="168">
        <f>Prem!M29</f>
        <v>0</v>
      </c>
      <c r="N29" s="168">
        <f ca="1">IFERROR(IF(B29&lt;=Age+B,MAX(MIN(A29,PPP)*$E$10,CV!Z30+L30)*K29,""),"")</f>
        <v>3889.6355786066483</v>
      </c>
      <c r="O29" s="171" cm="1">
        <f t="array" ref="O29">IFERROR(IF(B29&lt;=Age+B,VLOOKUP(IF(PPP&lt;20,PPP,"20+"),Exp_load_CV,_xlfn.IFS(A29=1,1,A29=2,2,A29=3,3,AND(A29&gt;=4,A29&lt;=10),4,AND(A29&gt;=11,A29&lt;=PPP),5,A29&gt;PPP,6)+1,FALSE),""),"")</f>
        <v>0.1</v>
      </c>
      <c r="P29" s="168">
        <f t="shared" ca="1" si="5"/>
        <v>0.2831094985208682</v>
      </c>
      <c r="Q29" s="168">
        <f t="shared" ca="1" si="6"/>
        <v>0</v>
      </c>
      <c r="R29" s="168">
        <f t="shared" ca="1" si="7"/>
        <v>0.25489598699167421</v>
      </c>
      <c r="S29" s="168">
        <f t="shared" ca="1" si="8"/>
        <v>2.5489598699167421E-2</v>
      </c>
      <c r="T29" s="168">
        <f t="shared" ca="1" si="9"/>
        <v>267.558176943597</v>
      </c>
      <c r="U29" s="168">
        <f t="shared" ca="1" si="10"/>
        <v>0.2831094985208682</v>
      </c>
      <c r="V29" s="168">
        <f t="shared" ca="1" si="11"/>
        <v>0</v>
      </c>
      <c r="W29" s="168">
        <f t="shared" ca="1" si="12"/>
        <v>68.199505589731174</v>
      </c>
      <c r="X29" s="168">
        <f ca="1">IFERROR(IF(B29&lt;=Age+B,IF(B29&lt;=Begin_Age,(SUM(U29:$U$124)+SUM(V29:$V$124)-SUM(W29:$W$124))/G29,0),""),"")</f>
        <v>3609.6239920319676</v>
      </c>
      <c r="Y29" s="168">
        <f t="shared" si="13"/>
        <v>0.95500000000000007</v>
      </c>
      <c r="Z29" s="168">
        <f t="shared" ca="1" si="14"/>
        <v>3447.1909123905293</v>
      </c>
    </row>
    <row r="30" spans="1:26" x14ac:dyDescent="0.4">
      <c r="A30" s="168">
        <f t="shared" si="0"/>
        <v>13</v>
      </c>
      <c r="B30" s="168">
        <f t="shared" si="15"/>
        <v>32</v>
      </c>
      <c r="C30" s="168">
        <f ca="1">IFERROR(MIN(VLOOKUP(B30,INDIRECT("mort_alb_"&amp;Cover!$J$4),IF(Sex="M",2,3))/1000,1)*Mort_Int,"")</f>
        <v>3.2160000000000001E-4</v>
      </c>
      <c r="D30" s="168">
        <f t="shared" ca="1" si="1"/>
        <v>3.2074096332112146E-4</v>
      </c>
      <c r="E30" s="168">
        <f t="shared" ca="1" si="2"/>
        <v>0.99732886604826321</v>
      </c>
      <c r="F30" s="168">
        <f t="shared" ca="1" si="3"/>
        <v>7.5044150281336605E-5</v>
      </c>
      <c r="G30" s="168">
        <f t="shared" ca="1" si="4"/>
        <v>0.24384681916665651</v>
      </c>
      <c r="H30" s="168">
        <f>Prem!H30</f>
        <v>1</v>
      </c>
      <c r="I30" s="168">
        <f>Prem!I30</f>
        <v>0</v>
      </c>
      <c r="J30" s="168">
        <f>Prem!J30</f>
        <v>0</v>
      </c>
      <c r="K30" s="168">
        <f>Prem!K30</f>
        <v>1</v>
      </c>
      <c r="L30" s="168">
        <f>Prem!L30</f>
        <v>0</v>
      </c>
      <c r="M30" s="168">
        <f>Prem!M30</f>
        <v>0</v>
      </c>
      <c r="N30" s="168">
        <f ca="1">IFERROR(IF(B30&lt;=Age+B,MAX(MIN(A30,PPP)*$E$10,CV!Z31+L31)*K30,""),"")</f>
        <v>4355.7007139728585</v>
      </c>
      <c r="O30" s="171" cm="1">
        <f t="array" ref="O30">IFERROR(IF(B30&lt;=Age+B,VLOOKUP(IF(PPP&lt;20,PPP,"20+"),Exp_load_CV,_xlfn.IFS(A30=1,1,A30=2,2,A30=3,3,AND(A30&gt;=4,A30&lt;=10),4,AND(A30&gt;=11,A30&lt;=PPP),5,A30&gt;PPP,6)+1,FALSE),""),"")</f>
        <v>0.1</v>
      </c>
      <c r="P30" s="168">
        <f t="shared" ca="1" si="5"/>
        <v>0.32686985895990434</v>
      </c>
      <c r="Q30" s="168">
        <f t="shared" ca="1" si="6"/>
        <v>0</v>
      </c>
      <c r="R30" s="168">
        <f t="shared" ca="1" si="7"/>
        <v>0.24384681916665651</v>
      </c>
      <c r="S30" s="168">
        <f t="shared" ca="1" si="8"/>
        <v>2.4384681916665651E-2</v>
      </c>
      <c r="T30" s="168">
        <f t="shared" ca="1" si="9"/>
        <v>267.558176943597</v>
      </c>
      <c r="U30" s="168">
        <f t="shared" ca="1" si="10"/>
        <v>0.32686985895990434</v>
      </c>
      <c r="V30" s="168">
        <f t="shared" ca="1" si="11"/>
        <v>0</v>
      </c>
      <c r="W30" s="168">
        <f t="shared" ca="1" si="12"/>
        <v>65.24321038972559</v>
      </c>
      <c r="X30" s="168">
        <f ca="1">IFERROR(IF(B30&lt;=Age+B,IF(B30&lt;=Begin_Age,(SUM(U30:$U$124)+SUM(V30:$V$124)-SUM(W30:$W$124))/G30,0),""),"")</f>
        <v>4051.7037277151867</v>
      </c>
      <c r="Y30" s="168">
        <f t="shared" si="13"/>
        <v>0.96000000000000008</v>
      </c>
      <c r="Z30" s="168">
        <f t="shared" ca="1" si="14"/>
        <v>3889.6355786065797</v>
      </c>
    </row>
    <row r="31" spans="1:26" x14ac:dyDescent="0.4">
      <c r="A31" s="168">
        <f t="shared" si="0"/>
        <v>14</v>
      </c>
      <c r="B31" s="168">
        <f t="shared" si="15"/>
        <v>33</v>
      </c>
      <c r="C31" s="168">
        <f ca="1">IFERROR(MIN(VLOOKUP(B31,INDIRECT("mort_alb_"&amp;Cover!$J$4),IF(Sex="M",2,3))/1000,1)*Mort_Int,"")</f>
        <v>3.4880000000000002E-4</v>
      </c>
      <c r="D31" s="168">
        <f t="shared" ca="1" si="1"/>
        <v>3.4775643402962784E-4</v>
      </c>
      <c r="E31" s="168">
        <f t="shared" ca="1" si="2"/>
        <v>0.99700812508494208</v>
      </c>
      <c r="F31" s="168">
        <f t="shared" ca="1" si="3"/>
        <v>7.7861236906415945E-5</v>
      </c>
      <c r="G31" s="168">
        <f t="shared" ca="1" si="4"/>
        <v>0.23327119428671059</v>
      </c>
      <c r="H31" s="168">
        <f>Prem!H31</f>
        <v>1</v>
      </c>
      <c r="I31" s="168">
        <f>Prem!I31</f>
        <v>0</v>
      </c>
      <c r="J31" s="168">
        <f>Prem!J31</f>
        <v>0</v>
      </c>
      <c r="K31" s="168">
        <f>Prem!K31</f>
        <v>1</v>
      </c>
      <c r="L31" s="168">
        <f>Prem!L31</f>
        <v>0</v>
      </c>
      <c r="M31" s="168">
        <f>Prem!M31</f>
        <v>0</v>
      </c>
      <c r="N31" s="168">
        <f ca="1">IFERROR(IF(B31&lt;=Age+B,MAX(MIN(A31,PPP)*$E$10,CV!Z32+L32)*K31,""),"")</f>
        <v>4846.5522818520094</v>
      </c>
      <c r="O31" s="171" cm="1">
        <f t="array" ref="O31">IFERROR(IF(B31&lt;=Age+B,VLOOKUP(IF(PPP&lt;20,PPP,"20+"),Exp_load_CV,_xlfn.IFS(A31=1,1,A31=2,2,A31=3,3,AND(A31&gt;=4,A31&lt;=10),4,AND(A31&gt;=11,A31&lt;=PPP),5,A31&gt;PPP,6)+1,FALSE),""),"")</f>
        <v>0.1</v>
      </c>
      <c r="P31" s="168">
        <f t="shared" ca="1" si="5"/>
        <v>0.37735855539661006</v>
      </c>
      <c r="Q31" s="168">
        <f t="shared" ca="1" si="6"/>
        <v>0</v>
      </c>
      <c r="R31" s="168">
        <f t="shared" ca="1" si="7"/>
        <v>0.23327119428671059</v>
      </c>
      <c r="S31" s="168">
        <f t="shared" ca="1" si="8"/>
        <v>2.3327119428671061E-2</v>
      </c>
      <c r="T31" s="168">
        <f t="shared" ca="1" si="9"/>
        <v>267.558176943597</v>
      </c>
      <c r="U31" s="168">
        <f t="shared" ca="1" si="10"/>
        <v>0.37735855539661006</v>
      </c>
      <c r="V31" s="168">
        <f t="shared" ca="1" si="11"/>
        <v>0</v>
      </c>
      <c r="W31" s="168">
        <f t="shared" ca="1" si="12"/>
        <v>62.413615476807905</v>
      </c>
      <c r="X31" s="168">
        <f ca="1">IFERROR(IF(B31&lt;=Age+B,IF(B31&lt;=Begin_Age,(SUM(U31:$U$124)+SUM(V31:$V$124)-SUM(W31:$W$124))/G31,0),""),"")</f>
        <v>4513.6794963448665</v>
      </c>
      <c r="Y31" s="168">
        <f t="shared" si="13"/>
        <v>0.96500000000000008</v>
      </c>
      <c r="Z31" s="168">
        <f t="shared" ca="1" si="14"/>
        <v>4355.7007139727966</v>
      </c>
    </row>
    <row r="32" spans="1:26" x14ac:dyDescent="0.4">
      <c r="A32" s="168">
        <f t="shared" si="0"/>
        <v>15</v>
      </c>
      <c r="B32" s="168">
        <f t="shared" si="15"/>
        <v>34</v>
      </c>
      <c r="C32" s="168">
        <f ca="1">IFERROR(MIN(VLOOKUP(B32,INDIRECT("mort_alb_"&amp;Cover!$J$4),IF(Sex="M",2,3))/1000,1)*Mort_Int,"")</f>
        <v>3.8000000000000002E-4</v>
      </c>
      <c r="D32" s="168">
        <f t="shared" ca="1" si="1"/>
        <v>3.7873094008734675E-4</v>
      </c>
      <c r="E32" s="168">
        <f t="shared" ca="1" si="2"/>
        <v>0.99666036865091245</v>
      </c>
      <c r="F32" s="168">
        <f t="shared" ca="1" si="3"/>
        <v>8.1144786183259994E-5</v>
      </c>
      <c r="G32" s="168">
        <f t="shared" ca="1" si="4"/>
        <v>0.22314816200396498</v>
      </c>
      <c r="H32" s="168">
        <f>Prem!H32</f>
        <v>1</v>
      </c>
      <c r="I32" s="168">
        <f>Prem!I32</f>
        <v>0</v>
      </c>
      <c r="J32" s="168">
        <f>Prem!J32</f>
        <v>0</v>
      </c>
      <c r="K32" s="168">
        <f>Prem!K32</f>
        <v>1</v>
      </c>
      <c r="L32" s="168">
        <f>Prem!L32</f>
        <v>0</v>
      </c>
      <c r="M32" s="168">
        <f>Prem!M32</f>
        <v>0</v>
      </c>
      <c r="N32" s="168">
        <f ca="1">IFERROR(IF(B32&lt;=Age+B,MAX(MIN(A32,PPP)*$E$10,CV!Z33+L33)*K32,""),"")</f>
        <v>5363.4128530194057</v>
      </c>
      <c r="O32" s="171" cm="1">
        <f t="array" ref="O32">IFERROR(IF(B32&lt;=Age+B,VLOOKUP(IF(PPP&lt;20,PPP,"20+"),Exp_load_CV,_xlfn.IFS(A32=1,1,A32=2,2,A32=3,3,AND(A32&gt;=4,A32&lt;=10),4,AND(A32&gt;=11,A32&lt;=PPP),5,A32&gt;PPP,6)+1,FALSE),""),"")</f>
        <v>0.1</v>
      </c>
      <c r="P32" s="168">
        <f t="shared" ca="1" si="5"/>
        <v>0.43521298917080814</v>
      </c>
      <c r="Q32" s="168">
        <f t="shared" ca="1" si="6"/>
        <v>0</v>
      </c>
      <c r="R32" s="168">
        <f t="shared" ca="1" si="7"/>
        <v>0.22314816200396498</v>
      </c>
      <c r="S32" s="168">
        <f t="shared" ca="1" si="8"/>
        <v>2.2314816200396499E-2</v>
      </c>
      <c r="T32" s="168">
        <f t="shared" ca="1" si="9"/>
        <v>267.558176943597</v>
      </c>
      <c r="U32" s="168">
        <f t="shared" ca="1" si="10"/>
        <v>0.43521298917080814</v>
      </c>
      <c r="V32" s="168">
        <f t="shared" ca="1" si="11"/>
        <v>0</v>
      </c>
      <c r="W32" s="168">
        <f t="shared" ca="1" si="12"/>
        <v>59.70511541409531</v>
      </c>
      <c r="X32" s="168">
        <f ca="1">IFERROR(IF(B32&lt;=Age+B,IF(B32&lt;=Begin_Age,(SUM(U32:$U$124)+SUM(V32:$V$124)-SUM(W32:$W$124))/G32,0),""),"")</f>
        <v>4996.4456513937666</v>
      </c>
      <c r="Y32" s="168">
        <f t="shared" si="13"/>
        <v>0.97</v>
      </c>
      <c r="Z32" s="168">
        <f t="shared" ca="1" si="14"/>
        <v>4846.5522818519539</v>
      </c>
    </row>
    <row r="33" spans="1:26" x14ac:dyDescent="0.4">
      <c r="A33" s="168">
        <f t="shared" si="0"/>
        <v>16</v>
      </c>
      <c r="B33" s="168">
        <f t="shared" si="15"/>
        <v>35</v>
      </c>
      <c r="C33" s="168">
        <f ca="1">IFERROR(MIN(VLOOKUP(B33,INDIRECT("mort_alb_"&amp;Cover!$J$4),IF(Sex="M",2,3))/1000,1)*Mort_Int,"")</f>
        <v>4.1520000000000006E-4</v>
      </c>
      <c r="D33" s="168">
        <f t="shared" ca="1" si="1"/>
        <v>4.1365613597753466E-4</v>
      </c>
      <c r="E33" s="168">
        <f t="shared" ca="1" si="2"/>
        <v>0.99628163771082512</v>
      </c>
      <c r="F33" s="168">
        <f t="shared" ca="1" si="3"/>
        <v>8.4811162234965274E-5</v>
      </c>
      <c r="G33" s="168">
        <f t="shared" ca="1" si="4"/>
        <v>0.21345776622239568</v>
      </c>
      <c r="H33" s="168">
        <f>Prem!H33</f>
        <v>1</v>
      </c>
      <c r="I33" s="168">
        <f>Prem!I33</f>
        <v>0</v>
      </c>
      <c r="J33" s="168">
        <f>Prem!J33</f>
        <v>0</v>
      </c>
      <c r="K33" s="168">
        <f>Prem!K33</f>
        <v>1</v>
      </c>
      <c r="L33" s="168">
        <f>Prem!L33</f>
        <v>0</v>
      </c>
      <c r="M33" s="168">
        <f>Prem!M33</f>
        <v>0</v>
      </c>
      <c r="N33" s="168">
        <f ca="1">IFERROR(IF(B33&lt;=Age+B,MAX(MIN(A33,PPP)*$E$10,CV!Z34+L34)*K33,""),"")</f>
        <v>5907.5642087823389</v>
      </c>
      <c r="O33" s="171" cm="1">
        <f t="array" ref="O33">IFERROR(IF(B33&lt;=Age+B,VLOOKUP(IF(PPP&lt;20,PPP,"20+"),Exp_load_CV,_xlfn.IFS(A33=1,1,A33=2,2,A33=3,3,AND(A33&gt;=4,A33&lt;=10),4,AND(A33&gt;=11,A33&lt;=PPP),5,A33&gt;PPP,6)+1,FALSE),""),"")</f>
        <v>0.1</v>
      </c>
      <c r="P33" s="168">
        <f t="shared" ca="1" si="5"/>
        <v>0.50102738652451317</v>
      </c>
      <c r="Q33" s="168">
        <f t="shared" ca="1" si="6"/>
        <v>0</v>
      </c>
      <c r="R33" s="168">
        <f t="shared" ca="1" si="7"/>
        <v>0.21345776622239568</v>
      </c>
      <c r="S33" s="168">
        <f t="shared" ca="1" si="8"/>
        <v>2.1345776622239569E-2</v>
      </c>
      <c r="T33" s="168">
        <f t="shared" ca="1" si="9"/>
        <v>267.558176943597</v>
      </c>
      <c r="U33" s="168">
        <f t="shared" ca="1" si="10"/>
        <v>0.50102738652451317</v>
      </c>
      <c r="V33" s="168">
        <f t="shared" ca="1" si="11"/>
        <v>0</v>
      </c>
      <c r="W33" s="168">
        <f t="shared" ca="1" si="12"/>
        <v>57.112370784916706</v>
      </c>
      <c r="X33" s="168">
        <f ca="1">IFERROR(IF(B33&lt;=Age+B,IF(B33&lt;=Begin_Age,(SUM(U33:$U$124)+SUM(V33:$V$124)-SUM(W33:$W$124))/G33,0),""),"")</f>
        <v>5500.9362595070361</v>
      </c>
      <c r="Y33" s="168">
        <f t="shared" si="13"/>
        <v>0.97499999999999998</v>
      </c>
      <c r="Z33" s="168">
        <f t="shared" ca="1" si="14"/>
        <v>5363.4128530193602</v>
      </c>
    </row>
    <row r="34" spans="1:26" x14ac:dyDescent="0.4">
      <c r="A34" s="168">
        <f t="shared" si="0"/>
        <v>17</v>
      </c>
      <c r="B34" s="168">
        <f t="shared" si="15"/>
        <v>36</v>
      </c>
      <c r="C34" s="168">
        <f ca="1">IFERROR(MIN(VLOOKUP(B34,INDIRECT("mort_alb_"&amp;Cover!$J$4),IF(Sex="M",2,3))/1000,1)*Mort_Int,"")</f>
        <v>4.5520000000000001E-4</v>
      </c>
      <c r="D34" s="168">
        <f t="shared" ca="1" si="1"/>
        <v>4.5331910521287063E-4</v>
      </c>
      <c r="E34" s="168">
        <f t="shared" ca="1" si="2"/>
        <v>0.99586798157484757</v>
      </c>
      <c r="F34" s="168">
        <f t="shared" ca="1" si="3"/>
        <v>8.894085013762318E-5</v>
      </c>
      <c r="G34" s="168">
        <f t="shared" ca="1" si="4"/>
        <v>0.20418099383527288</v>
      </c>
      <c r="H34" s="168">
        <f>Prem!H34</f>
        <v>1</v>
      </c>
      <c r="I34" s="168">
        <f>Prem!I34</f>
        <v>0</v>
      </c>
      <c r="J34" s="168">
        <f>Prem!J34</f>
        <v>0</v>
      </c>
      <c r="K34" s="168">
        <f>Prem!K34</f>
        <v>1</v>
      </c>
      <c r="L34" s="168">
        <f>Prem!L34</f>
        <v>0</v>
      </c>
      <c r="M34" s="168">
        <f>Prem!M34</f>
        <v>0</v>
      </c>
      <c r="N34" s="168">
        <f ca="1">IFERROR(IF(B34&lt;=Age+B,MAX(MIN(A34,PPP)*$E$10,CV!Z35+L35)*K34,""),"")</f>
        <v>6480.3501287262952</v>
      </c>
      <c r="O34" s="171" cm="1">
        <f t="array" ref="O34">IFERROR(IF(B34&lt;=Age+B,VLOOKUP(IF(PPP&lt;20,PPP,"20+"),Exp_load_CV,_xlfn.IFS(A34=1,1,A34=2,2,A34=3,3,AND(A34&gt;=4,A34&lt;=10),4,AND(A34&gt;=11,A34&lt;=PPP),5,A34&gt;PPP,6)+1,FALSE),""),"")</f>
        <v>0.1</v>
      </c>
      <c r="P34" s="168">
        <f t="shared" ca="1" si="5"/>
        <v>0.57636784963837251</v>
      </c>
      <c r="Q34" s="168">
        <f t="shared" ca="1" si="6"/>
        <v>0</v>
      </c>
      <c r="R34" s="168">
        <f t="shared" ca="1" si="7"/>
        <v>0.20418099383527288</v>
      </c>
      <c r="S34" s="168">
        <f t="shared" ca="1" si="8"/>
        <v>2.0418099383527288E-2</v>
      </c>
      <c r="T34" s="168">
        <f t="shared" ca="1" si="9"/>
        <v>267.558176943597</v>
      </c>
      <c r="U34" s="168">
        <f t="shared" ca="1" si="10"/>
        <v>0.57636784963837251</v>
      </c>
      <c r="V34" s="168">
        <f t="shared" ca="1" si="11"/>
        <v>0</v>
      </c>
      <c r="W34" s="168">
        <f t="shared" ca="1" si="12"/>
        <v>54.630294477097429</v>
      </c>
      <c r="X34" s="168">
        <f ca="1">IFERROR(IF(B34&lt;=Age+B,IF(B34&lt;=Begin_Age,(SUM(U34:$U$124)+SUM(V34:$V$124)-SUM(W34:$W$124))/G34,0),""),"")</f>
        <v>6028.1267436554099</v>
      </c>
      <c r="Y34" s="168">
        <f t="shared" si="13"/>
        <v>0.98</v>
      </c>
      <c r="Z34" s="168">
        <f t="shared" ca="1" si="14"/>
        <v>5907.5642087823016</v>
      </c>
    </row>
    <row r="35" spans="1:26" x14ac:dyDescent="0.4">
      <c r="A35" s="168">
        <f t="shared" si="0"/>
        <v>18</v>
      </c>
      <c r="B35" s="168">
        <f t="shared" si="15"/>
        <v>37</v>
      </c>
      <c r="C35" s="168">
        <f ca="1">IFERROR(MIN(VLOOKUP(B35,INDIRECT("mort_alb_"&amp;Cover!$J$4),IF(Sex="M",2,3))/1000,1)*Mort_Int,"")</f>
        <v>4.9839999999999997E-4</v>
      </c>
      <c r="D35" s="168">
        <f t="shared" ca="1" si="1"/>
        <v>4.9611466777486587E-4</v>
      </c>
      <c r="E35" s="168">
        <f t="shared" ca="1" si="2"/>
        <v>0.99541466246963473</v>
      </c>
      <c r="F35" s="168">
        <f t="shared" ca="1" si="3"/>
        <v>9.3145747068432077E-5</v>
      </c>
      <c r="G35" s="168">
        <f t="shared" ca="1" si="4"/>
        <v>0.19529956999701348</v>
      </c>
      <c r="H35" s="168">
        <f>Prem!H35</f>
        <v>1</v>
      </c>
      <c r="I35" s="168">
        <f>Prem!I35</f>
        <v>0</v>
      </c>
      <c r="J35" s="168">
        <f>Prem!J35</f>
        <v>0</v>
      </c>
      <c r="K35" s="168">
        <f>Prem!K35</f>
        <v>1</v>
      </c>
      <c r="L35" s="168">
        <f>Prem!L35</f>
        <v>0</v>
      </c>
      <c r="M35" s="168">
        <f>Prem!M35</f>
        <v>0</v>
      </c>
      <c r="N35" s="168">
        <f ca="1">IFERROR(IF(B35&lt;=Age+B,MAX(MIN(A35,PPP)*$E$10,CV!Z36+L36)*K35,""),"")</f>
        <v>7083.1789603826464</v>
      </c>
      <c r="O35" s="171" cm="1">
        <f t="array" ref="O35">IFERROR(IF(B35&lt;=Age+B,VLOOKUP(IF(PPP&lt;20,PPP,"20+"),Exp_load_CV,_xlfn.IFS(A35=1,1,A35=2,2,A35=3,3,AND(A35&gt;=4,A35&lt;=10),4,AND(A35&gt;=11,A35&lt;=PPP),5,A35&gt;PPP,6)+1,FALSE),""),"")</f>
        <v>0.1</v>
      </c>
      <c r="P35" s="168">
        <f t="shared" ca="1" si="5"/>
        <v>0.65976799588424162</v>
      </c>
      <c r="Q35" s="168">
        <f t="shared" ca="1" si="6"/>
        <v>0</v>
      </c>
      <c r="R35" s="168">
        <f t="shared" ca="1" si="7"/>
        <v>0.19529956999701348</v>
      </c>
      <c r="S35" s="168">
        <f t="shared" ca="1" si="8"/>
        <v>1.9529956999701351E-2</v>
      </c>
      <c r="T35" s="168">
        <f t="shared" ca="1" si="9"/>
        <v>267.558176943597</v>
      </c>
      <c r="U35" s="168">
        <f t="shared" ca="1" si="10"/>
        <v>0.65976799588424162</v>
      </c>
      <c r="V35" s="168">
        <f t="shared" ca="1" si="11"/>
        <v>0</v>
      </c>
      <c r="W35" s="168">
        <f t="shared" ca="1" si="12"/>
        <v>52.253996906269343</v>
      </c>
      <c r="X35" s="168">
        <f ca="1">IFERROR(IF(B35&lt;=Age+B,IF(B35&lt;=Begin_Age,(SUM(U35:$U$124)+SUM(V35:$V$124)-SUM(W35:$W$124))/G35,0),""),"")</f>
        <v>6579.0356636814904</v>
      </c>
      <c r="Y35" s="168">
        <f t="shared" si="13"/>
        <v>0.98499999999999999</v>
      </c>
      <c r="Z35" s="168">
        <f t="shared" ca="1" si="14"/>
        <v>6480.3501287262679</v>
      </c>
    </row>
    <row r="36" spans="1:26" x14ac:dyDescent="0.4">
      <c r="A36" s="168">
        <f t="shared" si="0"/>
        <v>19</v>
      </c>
      <c r="B36" s="168">
        <f t="shared" si="15"/>
        <v>38</v>
      </c>
      <c r="C36" s="168">
        <f ca="1">IFERROR(MIN(VLOOKUP(B36,INDIRECT("mort_alb_"&amp;Cover!$J$4),IF(Sex="M",2,3))/1000,1)*Mort_Int,"")</f>
        <v>5.4560000000000014E-4</v>
      </c>
      <c r="D36" s="168">
        <f t="shared" ca="1" si="1"/>
        <v>5.4282755968069487E-4</v>
      </c>
      <c r="E36" s="168">
        <f t="shared" ca="1" si="2"/>
        <v>0.99491854780185984</v>
      </c>
      <c r="F36" s="168">
        <f t="shared" ca="1" si="3"/>
        <v>9.7527380926616181E-5</v>
      </c>
      <c r="G36" s="168">
        <f t="shared" ca="1" si="4"/>
        <v>0.18679639491993014</v>
      </c>
      <c r="H36" s="168">
        <f>Prem!H36</f>
        <v>1</v>
      </c>
      <c r="I36" s="168">
        <f>Prem!I36</f>
        <v>0</v>
      </c>
      <c r="J36" s="168">
        <f>Prem!J36</f>
        <v>0</v>
      </c>
      <c r="K36" s="168">
        <f>Prem!K36</f>
        <v>1</v>
      </c>
      <c r="L36" s="168">
        <f>Prem!L36</f>
        <v>0</v>
      </c>
      <c r="M36" s="168">
        <f>Prem!M36</f>
        <v>0</v>
      </c>
      <c r="N36" s="168">
        <f ca="1">IFERROR(IF(B36&lt;=Age+B,MAX(MIN(A36,PPP)*$E$10,CV!Z37+L37)*K36,""),"")</f>
        <v>7717.5268149576641</v>
      </c>
      <c r="O36" s="171" cm="1">
        <f t="array" ref="O36">IFERROR(IF(B36&lt;=Age+B,VLOOKUP(IF(PPP&lt;20,PPP,"20+"),Exp_load_CV,_xlfn.IFS(A36=1,1,A36=2,2,A36=3,3,AND(A36&gt;=4,A36&lt;=10),4,AND(A36&gt;=11,A36&lt;=PPP),5,A36&gt;PPP,6)+1,FALSE),""),"")</f>
        <v>0.1</v>
      </c>
      <c r="P36" s="168">
        <f t="shared" ca="1" si="5"/>
        <v>0.75267017749375098</v>
      </c>
      <c r="Q36" s="168">
        <f t="shared" ca="1" si="6"/>
        <v>0</v>
      </c>
      <c r="R36" s="168">
        <f t="shared" ca="1" si="7"/>
        <v>0.18679639491993014</v>
      </c>
      <c r="S36" s="168">
        <f t="shared" ca="1" si="8"/>
        <v>1.8679639491993014E-2</v>
      </c>
      <c r="T36" s="168">
        <f t="shared" ca="1" si="9"/>
        <v>267.558176943597</v>
      </c>
      <c r="U36" s="168">
        <f t="shared" ca="1" si="10"/>
        <v>0.75267017749375098</v>
      </c>
      <c r="V36" s="168">
        <f t="shared" ca="1" si="11"/>
        <v>0</v>
      </c>
      <c r="W36" s="168">
        <f t="shared" ca="1" si="12"/>
        <v>49.97890288441269</v>
      </c>
      <c r="X36" s="168">
        <f ca="1">IFERROR(IF(B36&lt;=Age+B,IF(B36&lt;=Begin_Age,(SUM(U36:$U$124)+SUM(V36:$V$124)-SUM(W36:$W$124))/G36,0),""),"")</f>
        <v>7154.7262226087223</v>
      </c>
      <c r="Y36" s="168">
        <f t="shared" si="13"/>
        <v>0.99</v>
      </c>
      <c r="Z36" s="168">
        <f t="shared" ca="1" si="14"/>
        <v>7083.1789603826346</v>
      </c>
    </row>
    <row r="37" spans="1:26" x14ac:dyDescent="0.4">
      <c r="A37" s="168">
        <f t="shared" si="0"/>
        <v>20</v>
      </c>
      <c r="B37" s="168">
        <f t="shared" si="15"/>
        <v>39</v>
      </c>
      <c r="C37" s="168">
        <f ca="1">IFERROR(MIN(VLOOKUP(B37,INDIRECT("mort_alb_"&amp;Cover!$J$4),IF(Sex="M",2,3))/1000,1)*Mort_Int,"")</f>
        <v>5.9520000000000005E-4</v>
      </c>
      <c r="D37" s="168">
        <f t="shared" ca="1" si="1"/>
        <v>5.9185242868814501E-4</v>
      </c>
      <c r="E37" s="168">
        <f t="shared" ca="1" si="2"/>
        <v>0.99437572024217913</v>
      </c>
      <c r="F37" s="168">
        <f t="shared" ca="1" si="3"/>
        <v>1.0175641929978176E-4</v>
      </c>
      <c r="G37" s="168">
        <f t="shared" ca="1" si="4"/>
        <v>0.17865500364292997</v>
      </c>
      <c r="H37" s="168">
        <f>Prem!H37</f>
        <v>1</v>
      </c>
      <c r="I37" s="168">
        <f>Prem!I37</f>
        <v>0</v>
      </c>
      <c r="J37" s="168">
        <f>Prem!J37</f>
        <v>0</v>
      </c>
      <c r="K37" s="168">
        <f>Prem!K37</f>
        <v>1</v>
      </c>
      <c r="L37" s="168">
        <f>Prem!L37</f>
        <v>0</v>
      </c>
      <c r="M37" s="168">
        <f>Prem!M37</f>
        <v>0</v>
      </c>
      <c r="N37" s="168">
        <f ca="1">IFERROR(IF(B37&lt;=Age+B,MAX(MIN(A37,PPP)*$E$10,CV!Z38+L38)*K37,""),"")</f>
        <v>8384.9405277008027</v>
      </c>
      <c r="O37" s="171" cm="1">
        <f t="array" ref="O37">IFERROR(IF(B37&lt;=Age+B,VLOOKUP(IF(PPP&lt;20,PPP,"20+"),Exp_load_CV,_xlfn.IFS(A37=1,1,A37=2,2,A37=3,3,AND(A37&gt;=4,A37&lt;=10),4,AND(A37&gt;=11,A37&lt;=PPP),5,A37&gt;PPP,6)+1,FALSE),""),"")</f>
        <v>0.1</v>
      </c>
      <c r="P37" s="168">
        <f t="shared" ca="1" si="5"/>
        <v>0.85322152414045627</v>
      </c>
      <c r="Q37" s="168">
        <f t="shared" ca="1" si="6"/>
        <v>0</v>
      </c>
      <c r="R37" s="168">
        <f t="shared" ca="1" si="7"/>
        <v>0.17865500364292997</v>
      </c>
      <c r="S37" s="168">
        <f t="shared" ca="1" si="8"/>
        <v>1.7865500364292998E-2</v>
      </c>
      <c r="T37" s="168">
        <f t="shared" ca="1" si="9"/>
        <v>267.558176943597</v>
      </c>
      <c r="U37" s="168">
        <f t="shared" ca="1" si="10"/>
        <v>0.85322152414045627</v>
      </c>
      <c r="V37" s="168">
        <f t="shared" ca="1" si="11"/>
        <v>0</v>
      </c>
      <c r="W37" s="168">
        <f t="shared" ca="1" si="12"/>
        <v>47.800607076554023</v>
      </c>
      <c r="X37" s="168">
        <f ca="1">IFERROR(IF(B37&lt;=Age+B,IF(B37&lt;=Begin_Age,(SUM(U37:$U$124)+SUM(V37:$V$124)-SUM(W37:$W$124))/G37,0),""),"")</f>
        <v>7756.3083567413832</v>
      </c>
      <c r="Y37" s="168">
        <f t="shared" si="13"/>
        <v>0.995</v>
      </c>
      <c r="Z37" s="168">
        <f t="shared" ca="1" si="14"/>
        <v>7717.5268149576759</v>
      </c>
    </row>
    <row r="38" spans="1:26" x14ac:dyDescent="0.4">
      <c r="A38" s="168">
        <f t="shared" si="0"/>
        <v>21</v>
      </c>
      <c r="B38" s="168">
        <f t="shared" si="15"/>
        <v>40</v>
      </c>
      <c r="C38" s="168">
        <f ca="1">IFERROR(MIN(VLOOKUP(B38,INDIRECT("mort_alb_"&amp;Cover!$J$4),IF(Sex="M",2,3))/1000,1)*Mort_Int,"")</f>
        <v>6.4720000000000012E-4</v>
      </c>
      <c r="D38" s="168">
        <f t="shared" ca="1" si="1"/>
        <v>6.4317691924889149E-4</v>
      </c>
      <c r="E38" s="168">
        <f t="shared" ca="1" si="2"/>
        <v>0.99378386781349093</v>
      </c>
      <c r="F38" s="168">
        <f t="shared" ca="1" si="3"/>
        <v>1.0581872946972628E-4</v>
      </c>
      <c r="G38" s="168">
        <f t="shared" ca="1" si="4"/>
        <v>0.17085996955479593</v>
      </c>
      <c r="H38" s="168">
        <f>Prem!H38</f>
        <v>0</v>
      </c>
      <c r="I38" s="168">
        <f>Prem!I38</f>
        <v>0</v>
      </c>
      <c r="J38" s="168">
        <f>Prem!J38</f>
        <v>0</v>
      </c>
      <c r="K38" s="168">
        <f>Prem!K38</f>
        <v>1</v>
      </c>
      <c r="L38" s="168">
        <f>Prem!L38</f>
        <v>0</v>
      </c>
      <c r="M38" s="168">
        <f>Prem!M38</f>
        <v>0</v>
      </c>
      <c r="N38" s="168">
        <f ca="1">IFERROR(IF(B38&lt;=Age+B,MAX(MIN(A38,PPP)*$E$10,CV!Z39+L39)*K38,""),"")</f>
        <v>8762.2628514473363</v>
      </c>
      <c r="O38" s="171" cm="1">
        <f t="array" ref="O38">IFERROR(IF(B38&lt;=Age+B,VLOOKUP(IF(PPP&lt;20,PPP,"20+"),Exp_load_CV,_xlfn.IFS(A38=1,1,A38=2,2,A38=3,3,AND(A38&gt;=4,A38&lt;=10),4,AND(A38&gt;=11,A38&lt;=PPP),5,A38&gt;PPP,6)+1,FALSE),""),"")</f>
        <v>0</v>
      </c>
      <c r="P38" s="168">
        <f t="shared" ca="1" si="5"/>
        <v>0.92721152221993808</v>
      </c>
      <c r="Q38" s="168">
        <f t="shared" ca="1" si="6"/>
        <v>0</v>
      </c>
      <c r="R38" s="168">
        <f t="shared" ca="1" si="7"/>
        <v>0</v>
      </c>
      <c r="S38" s="168">
        <f t="shared" ca="1" si="8"/>
        <v>0</v>
      </c>
      <c r="T38" s="168">
        <f t="shared" ca="1" si="9"/>
        <v>0</v>
      </c>
      <c r="U38" s="168">
        <f t="shared" ca="1" si="10"/>
        <v>0.92721152221993808</v>
      </c>
      <c r="V38" s="168">
        <f t="shared" ca="1" si="11"/>
        <v>0</v>
      </c>
      <c r="W38" s="168">
        <f t="shared" ca="1" si="12"/>
        <v>0</v>
      </c>
      <c r="X38" s="168">
        <f ca="1">IFERROR(IF(B38&lt;=Age+B,IF(B38&lt;=Begin_Age,(SUM(U38:$U$124)+SUM(V38:$V$124)-SUM(W38:$W$124))/G38,0),""),"")</f>
        <v>8384.9405277008027</v>
      </c>
      <c r="Y38" s="168">
        <f t="shared" si="13"/>
        <v>1</v>
      </c>
      <c r="Z38" s="168">
        <f t="shared" ca="1" si="14"/>
        <v>8384.9405277008027</v>
      </c>
    </row>
    <row r="39" spans="1:26" x14ac:dyDescent="0.4">
      <c r="A39" s="168">
        <f t="shared" si="0"/>
        <v>22</v>
      </c>
      <c r="B39" s="168">
        <f t="shared" si="15"/>
        <v>41</v>
      </c>
      <c r="C39" s="168">
        <f ca="1">IFERROR(MIN(VLOOKUP(B39,INDIRECT("mort_alb_"&amp;Cover!$J$4),IF(Sex="M",2,3))/1000,1)*Mort_Int,"")</f>
        <v>7.0160000000000003E-4</v>
      </c>
      <c r="D39" s="168">
        <f t="shared" ca="1" si="1"/>
        <v>6.9678750873140025E-4</v>
      </c>
      <c r="E39" s="168">
        <f t="shared" ca="1" si="2"/>
        <v>0.99314069089424206</v>
      </c>
      <c r="F39" s="168">
        <f t="shared" ca="1" si="3"/>
        <v>1.097024072801649E-4</v>
      </c>
      <c r="G39" s="168">
        <f t="shared" ca="1" si="4"/>
        <v>0.16339654448086133</v>
      </c>
      <c r="H39" s="168">
        <f>Prem!H39</f>
        <v>0</v>
      </c>
      <c r="I39" s="168">
        <f>Prem!I39</f>
        <v>0</v>
      </c>
      <c r="J39" s="168">
        <f>Prem!J39</f>
        <v>0</v>
      </c>
      <c r="K39" s="168">
        <f>Prem!K39</f>
        <v>1</v>
      </c>
      <c r="L39" s="168">
        <f>Prem!L39</f>
        <v>0</v>
      </c>
      <c r="M39" s="168">
        <f>Prem!M39</f>
        <v>0</v>
      </c>
      <c r="N39" s="168">
        <f ca="1">IFERROR(IF(B39&lt;=Age+B,MAX(MIN(A39,PPP)*$E$10,CV!Z40+L40)*K39,""),"")</f>
        <v>9156.5646797624668</v>
      </c>
      <c r="O39" s="171" cm="1">
        <f t="array" ref="O39">IFERROR(IF(B39&lt;=Age+B,VLOOKUP(IF(PPP&lt;20,PPP,"20+"),Exp_load_CV,_xlfn.IFS(A39=1,1,A39=2,2,A39=3,3,AND(A39&gt;=4,A39&lt;=10),4,AND(A39&gt;=11,A39&lt;=PPP),5,A39&gt;PPP,6)+1,FALSE),""),"")</f>
        <v>0</v>
      </c>
      <c r="P39" s="168">
        <f t="shared" ca="1" si="5"/>
        <v>1.0044971877864748</v>
      </c>
      <c r="Q39" s="168">
        <f t="shared" ca="1" si="6"/>
        <v>0</v>
      </c>
      <c r="R39" s="168">
        <f t="shared" ca="1" si="7"/>
        <v>0</v>
      </c>
      <c r="S39" s="168">
        <f t="shared" ca="1" si="8"/>
        <v>0</v>
      </c>
      <c r="T39" s="168">
        <f t="shared" ca="1" si="9"/>
        <v>0</v>
      </c>
      <c r="U39" s="168">
        <f t="shared" ca="1" si="10"/>
        <v>1.0044971877864748</v>
      </c>
      <c r="V39" s="168">
        <f t="shared" ca="1" si="11"/>
        <v>0</v>
      </c>
      <c r="W39" s="168">
        <f t="shared" ca="1" si="12"/>
        <v>0</v>
      </c>
      <c r="X39" s="168">
        <f ca="1">IFERROR(IF(B39&lt;=Age+B,IF(B39&lt;=Begin_Age,(SUM(U39:$U$124)+SUM(V39:$V$124)-SUM(W39:$W$124))/G39,0),""),"")</f>
        <v>8762.2628514473363</v>
      </c>
      <c r="Y39" s="168">
        <f t="shared" si="13"/>
        <v>1</v>
      </c>
      <c r="Z39" s="168">
        <f t="shared" ca="1" si="14"/>
        <v>8762.2628514473363</v>
      </c>
    </row>
    <row r="40" spans="1:26" x14ac:dyDescent="0.4">
      <c r="A40" s="168">
        <f t="shared" si="0"/>
        <v>23</v>
      </c>
      <c r="B40" s="168">
        <f t="shared" si="15"/>
        <v>42</v>
      </c>
      <c r="C40" s="168">
        <f ca="1">IFERROR(MIN(VLOOKUP(B40,INDIRECT("mort_alb_"&amp;Cover!$J$4),IF(Sex="M",2,3))/1000,1)*Mort_Int,"")</f>
        <v>7.5920000000000002E-4</v>
      </c>
      <c r="D40" s="168">
        <f t="shared" ca="1" si="1"/>
        <v>7.5346341145027978E-4</v>
      </c>
      <c r="E40" s="168">
        <f t="shared" ca="1" si="2"/>
        <v>0.9924439033855107</v>
      </c>
      <c r="F40" s="168">
        <f t="shared" ca="1" si="3"/>
        <v>1.135172021054651E-4</v>
      </c>
      <c r="G40" s="168">
        <f t="shared" ca="1" si="4"/>
        <v>0.15625062723947711</v>
      </c>
      <c r="H40" s="168">
        <f>Prem!H40</f>
        <v>0</v>
      </c>
      <c r="I40" s="168">
        <f>Prem!I40</f>
        <v>0</v>
      </c>
      <c r="J40" s="168">
        <f>Prem!J40</f>
        <v>0</v>
      </c>
      <c r="K40" s="168">
        <f>Prem!K40</f>
        <v>1</v>
      </c>
      <c r="L40" s="168">
        <f>Prem!L40</f>
        <v>0</v>
      </c>
      <c r="M40" s="168">
        <f>Prem!M40</f>
        <v>0</v>
      </c>
      <c r="N40" s="168">
        <f ca="1">IFERROR(IF(B40&lt;=Age+B,MAX(MIN(A40,PPP)*$E$10,CV!Z41+L41)*K40,""),"")</f>
        <v>9568.6100903517781</v>
      </c>
      <c r="O40" s="171" cm="1">
        <f t="array" ref="O40">IFERROR(IF(B40&lt;=Age+B,VLOOKUP(IF(PPP&lt;20,PPP,"20+"),Exp_load_CV,_xlfn.IFS(A40=1,1,A40=2,2,A40=3,3,AND(A40&gt;=4,A40&lt;=10),4,AND(A40&gt;=11,A40&lt;=PPP),5,A40&gt;PPP,6)+1,FALSE),""),"")</f>
        <v>0</v>
      </c>
      <c r="P40" s="168">
        <f t="shared" ca="1" si="5"/>
        <v>1.0862018454948554</v>
      </c>
      <c r="Q40" s="168">
        <f t="shared" ca="1" si="6"/>
        <v>0</v>
      </c>
      <c r="R40" s="168">
        <f t="shared" ca="1" si="7"/>
        <v>0</v>
      </c>
      <c r="S40" s="168">
        <f t="shared" ca="1" si="8"/>
        <v>0</v>
      </c>
      <c r="T40" s="168">
        <f t="shared" ca="1" si="9"/>
        <v>0</v>
      </c>
      <c r="U40" s="168">
        <f t="shared" ca="1" si="10"/>
        <v>1.0862018454948554</v>
      </c>
      <c r="V40" s="168">
        <f t="shared" ca="1" si="11"/>
        <v>0</v>
      </c>
      <c r="W40" s="168">
        <f t="shared" ca="1" si="12"/>
        <v>0</v>
      </c>
      <c r="X40" s="168">
        <f ca="1">IFERROR(IF(B40&lt;=Age+B,IF(B40&lt;=Begin_Age,(SUM(U40:$U$124)+SUM(V40:$V$124)-SUM(W40:$W$124))/G40,0),""),"")</f>
        <v>9156.5646797624668</v>
      </c>
      <c r="Y40" s="168">
        <f t="shared" si="13"/>
        <v>1</v>
      </c>
      <c r="Z40" s="168">
        <f t="shared" ca="1" si="14"/>
        <v>9156.5646797624668</v>
      </c>
    </row>
    <row r="41" spans="1:26" x14ac:dyDescent="0.4">
      <c r="A41" s="168">
        <f t="shared" si="0"/>
        <v>24</v>
      </c>
      <c r="B41" s="168">
        <f t="shared" si="15"/>
        <v>43</v>
      </c>
      <c r="C41" s="168">
        <f ca="1">IFERROR(MIN(VLOOKUP(B41,INDIRECT("mort_alb_"&amp;Cover!$J$4),IF(Sex="M",2,3))/1000,1)*Mort_Int,"")</f>
        <v>8.1999999999999998E-4</v>
      </c>
      <c r="D41" s="168">
        <f t="shared" ca="1" si="1"/>
        <v>8.1318616077872944E-4</v>
      </c>
      <c r="E41" s="168">
        <f t="shared" ca="1" si="2"/>
        <v>0.99169043997406037</v>
      </c>
      <c r="F41" s="168">
        <f t="shared" ca="1" si="3"/>
        <v>1.1723929529624969E-4</v>
      </c>
      <c r="G41" s="168">
        <f t="shared" ca="1" si="4"/>
        <v>0.1494086141275377</v>
      </c>
      <c r="H41" s="168">
        <f>Prem!H41</f>
        <v>0</v>
      </c>
      <c r="I41" s="168">
        <f>Prem!I41</f>
        <v>0</v>
      </c>
      <c r="J41" s="168">
        <f>Prem!J41</f>
        <v>0</v>
      </c>
      <c r="K41" s="168">
        <f>Prem!K41</f>
        <v>1</v>
      </c>
      <c r="L41" s="168">
        <f>Prem!L41</f>
        <v>0</v>
      </c>
      <c r="M41" s="168">
        <f>Prem!M41</f>
        <v>0</v>
      </c>
      <c r="N41" s="168">
        <f ca="1">IFERROR(IF(B41&lt;=Age+B,MAX(MIN(A41,PPP)*$E$10,CV!Z42+L42)*K41,""),"")</f>
        <v>9999.1975444176041</v>
      </c>
      <c r="O41" s="171" cm="1">
        <f t="array" ref="O41">IFERROR(IF(B41&lt;=Age+B,VLOOKUP(IF(PPP&lt;20,PPP,"20+"),Exp_load_CV,_xlfn.IFS(A41=1,1,A41=2,2,A41=3,3,AND(A41&gt;=4,A41&lt;=10),4,AND(A41&gt;=11,A41&lt;=PPP),5,A41&gt;PPP,6)+1,FALSE),""),"")</f>
        <v>0</v>
      </c>
      <c r="P41" s="168">
        <f t="shared" ca="1" si="5"/>
        <v>1.1722988736355102</v>
      </c>
      <c r="Q41" s="168">
        <f t="shared" ca="1" si="6"/>
        <v>0</v>
      </c>
      <c r="R41" s="168">
        <f t="shared" ca="1" si="7"/>
        <v>0</v>
      </c>
      <c r="S41" s="168">
        <f t="shared" ca="1" si="8"/>
        <v>0</v>
      </c>
      <c r="T41" s="168">
        <f t="shared" ca="1" si="9"/>
        <v>0</v>
      </c>
      <c r="U41" s="168">
        <f t="shared" ca="1" si="10"/>
        <v>1.1722988736355102</v>
      </c>
      <c r="V41" s="168">
        <f t="shared" ca="1" si="11"/>
        <v>0</v>
      </c>
      <c r="W41" s="168">
        <f t="shared" ca="1" si="12"/>
        <v>0</v>
      </c>
      <c r="X41" s="168">
        <f ca="1">IFERROR(IF(B41&lt;=Age+B,IF(B41&lt;=Begin_Age,(SUM(U41:$U$124)+SUM(V41:$V$124)-SUM(W41:$W$124))/G41,0),""),"")</f>
        <v>9568.6100903517781</v>
      </c>
      <c r="Y41" s="168">
        <f t="shared" si="13"/>
        <v>1</v>
      </c>
      <c r="Z41" s="168">
        <f t="shared" ca="1" si="14"/>
        <v>9568.6100903517781</v>
      </c>
    </row>
    <row r="42" spans="1:26" x14ac:dyDescent="0.4">
      <c r="A42" s="168">
        <f t="shared" si="0"/>
        <v>25</v>
      </c>
      <c r="B42" s="168">
        <f t="shared" si="15"/>
        <v>44</v>
      </c>
      <c r="C42" s="168">
        <f ca="1">IFERROR(MIN(VLOOKUP(B42,INDIRECT("mort_alb_"&amp;Cover!$J$4),IF(Sex="M",2,3))/1000,1)*Mort_Int,"")</f>
        <v>8.8320000000000022E-4</v>
      </c>
      <c r="D42" s="168">
        <f t="shared" ca="1" si="1"/>
        <v>8.7514279056789053E-4</v>
      </c>
      <c r="E42" s="168">
        <f t="shared" ca="1" si="2"/>
        <v>0.99087725381328162</v>
      </c>
      <c r="F42" s="168">
        <f t="shared" ca="1" si="3"/>
        <v>1.2073852035739424E-4</v>
      </c>
      <c r="G42" s="168">
        <f t="shared" ca="1" si="4"/>
        <v>0.14285751106598388</v>
      </c>
      <c r="H42" s="168">
        <f>Prem!H42</f>
        <v>0</v>
      </c>
      <c r="I42" s="168">
        <f>Prem!I42</f>
        <v>0</v>
      </c>
      <c r="J42" s="168">
        <f>Prem!J42</f>
        <v>0</v>
      </c>
      <c r="K42" s="168">
        <f>Prem!K42</f>
        <v>1</v>
      </c>
      <c r="L42" s="168">
        <f>Prem!L42</f>
        <v>0</v>
      </c>
      <c r="M42" s="168">
        <f>Prem!M42</f>
        <v>0</v>
      </c>
      <c r="N42" s="168">
        <f ca="1">IFERROR(IF(B42&lt;=Age+B,MAX(MIN(A42,PPP)*$E$10,CV!Z43+L43)*K42,""),"")</f>
        <v>10449.161433916401</v>
      </c>
      <c r="O42" s="171" cm="1">
        <f t="array" ref="O42">IFERROR(IF(B42&lt;=Age+B,VLOOKUP(IF(PPP&lt;20,PPP,"20+"),Exp_load_CV,_xlfn.IFS(A42=1,1,A42=2,2,A42=3,3,AND(A42&gt;=4,A42&lt;=10),4,AND(A42&gt;=11,A42&lt;=PPP),5,A42&gt;PPP,6)+1,FALSE),""),"")</f>
        <v>0</v>
      </c>
      <c r="P42" s="168">
        <f t="shared" ca="1" si="5"/>
        <v>1.2616162905066142</v>
      </c>
      <c r="Q42" s="168">
        <f t="shared" ca="1" si="6"/>
        <v>0</v>
      </c>
      <c r="R42" s="168">
        <f t="shared" ca="1" si="7"/>
        <v>0</v>
      </c>
      <c r="S42" s="168">
        <f t="shared" ca="1" si="8"/>
        <v>0</v>
      </c>
      <c r="T42" s="168">
        <f t="shared" ca="1" si="9"/>
        <v>0</v>
      </c>
      <c r="U42" s="168">
        <f t="shared" ca="1" si="10"/>
        <v>1.2616162905066142</v>
      </c>
      <c r="V42" s="168">
        <f t="shared" ca="1" si="11"/>
        <v>0</v>
      </c>
      <c r="W42" s="168">
        <f t="shared" ca="1" si="12"/>
        <v>0</v>
      </c>
      <c r="X42" s="168">
        <f ca="1">IFERROR(IF(B42&lt;=Age+B,IF(B42&lt;=Begin_Age,(SUM(U42:$U$124)+SUM(V42:$V$124)-SUM(W42:$W$124))/G42,0),""),"")</f>
        <v>9999.1975444176041</v>
      </c>
      <c r="Y42" s="168">
        <f t="shared" si="13"/>
        <v>1</v>
      </c>
      <c r="Z42" s="168">
        <f t="shared" ca="1" si="14"/>
        <v>9999.1975444176041</v>
      </c>
    </row>
    <row r="43" spans="1:26" x14ac:dyDescent="0.4">
      <c r="A43" s="168">
        <f t="shared" si="0"/>
        <v>26</v>
      </c>
      <c r="B43" s="168">
        <f t="shared" si="15"/>
        <v>45</v>
      </c>
      <c r="C43" s="168">
        <f ca="1">IFERROR(MIN(VLOOKUP(B43,INDIRECT("mort_alb_"&amp;Cover!$J$4),IF(Sex="M",2,3))/1000,1)*Mort_Int,"")</f>
        <v>9.5040000000000012E-4</v>
      </c>
      <c r="D43" s="168">
        <f t="shared" ca="1" si="1"/>
        <v>9.4089800631598725E-4</v>
      </c>
      <c r="E43" s="168">
        <f t="shared" ca="1" si="2"/>
        <v>0.99000211102271374</v>
      </c>
      <c r="F43" s="168">
        <f t="shared" ca="1" si="3"/>
        <v>1.2422047561395097E-4</v>
      </c>
      <c r="G43" s="168">
        <f t="shared" ca="1" si="4"/>
        <v>0.1365850136958951</v>
      </c>
      <c r="H43" s="168">
        <f>Prem!H43</f>
        <v>0</v>
      </c>
      <c r="I43" s="168">
        <f>Prem!I43</f>
        <v>0</v>
      </c>
      <c r="J43" s="168">
        <f>Prem!J43</f>
        <v>0</v>
      </c>
      <c r="K43" s="168">
        <f>Prem!K43</f>
        <v>1</v>
      </c>
      <c r="L43" s="168">
        <f>Prem!L43</f>
        <v>0</v>
      </c>
      <c r="M43" s="168">
        <f>Prem!M43</f>
        <v>0</v>
      </c>
      <c r="N43" s="168">
        <f ca="1">IFERROR(IF(B43&lt;=Age+B,MAX(MIN(A43,PPP)*$E$10,CV!Z44+L44)*K43,""),"")</f>
        <v>10919.373698442632</v>
      </c>
      <c r="O43" s="171" cm="1">
        <f t="array" ref="O43">IFERROR(IF(B43&lt;=Age+B,VLOOKUP(IF(PPP&lt;20,PPP,"20+"),Exp_load_CV,_xlfn.IFS(A43=1,1,A43=2,2,A43=3,3,AND(A43&gt;=4,A43&lt;=10),4,AND(A43&gt;=11,A43&lt;=PPP),5,A43&gt;PPP,6)+1,FALSE),""),"")</f>
        <v>0</v>
      </c>
      <c r="P43" s="168">
        <f t="shared" ca="1" si="5"/>
        <v>1.3564097942270106</v>
      </c>
      <c r="Q43" s="168">
        <f t="shared" ca="1" si="6"/>
        <v>0</v>
      </c>
      <c r="R43" s="168">
        <f t="shared" ca="1" si="7"/>
        <v>0</v>
      </c>
      <c r="S43" s="168">
        <f t="shared" ca="1" si="8"/>
        <v>0</v>
      </c>
      <c r="T43" s="168">
        <f t="shared" ca="1" si="9"/>
        <v>0</v>
      </c>
      <c r="U43" s="168">
        <f t="shared" ca="1" si="10"/>
        <v>1.3564097942270106</v>
      </c>
      <c r="V43" s="168">
        <f t="shared" ca="1" si="11"/>
        <v>0</v>
      </c>
      <c r="W43" s="168">
        <f t="shared" ca="1" si="12"/>
        <v>0</v>
      </c>
      <c r="X43" s="168">
        <f ca="1">IFERROR(IF(B43&lt;=Age+B,IF(B43&lt;=Begin_Age,(SUM(U43:$U$124)+SUM(V43:$V$124)-SUM(W43:$W$124))/G43,0),""),"")</f>
        <v>10449.161433916401</v>
      </c>
      <c r="Y43" s="168">
        <f t="shared" si="13"/>
        <v>1</v>
      </c>
      <c r="Z43" s="168">
        <f t="shared" ca="1" si="14"/>
        <v>10449.161433916401</v>
      </c>
    </row>
    <row r="44" spans="1:26" x14ac:dyDescent="0.4">
      <c r="A44" s="168">
        <f t="shared" si="0"/>
        <v>27</v>
      </c>
      <c r="B44" s="168">
        <f t="shared" si="15"/>
        <v>46</v>
      </c>
      <c r="C44" s="168">
        <f ca="1">IFERROR(MIN(VLOOKUP(B44,INDIRECT("mort_alb_"&amp;Cover!$J$4),IF(Sex="M",2,3))/1000,1)*Mort_Int,"")</f>
        <v>1.0215999999999999E-3</v>
      </c>
      <c r="D44" s="168">
        <f t="shared" ca="1" si="1"/>
        <v>1.0104249352175518E-3</v>
      </c>
      <c r="E44" s="168">
        <f t="shared" ca="1" si="2"/>
        <v>0.98906121301639771</v>
      </c>
      <c r="F44" s="168">
        <f t="shared" ca="1" si="3"/>
        <v>1.2765516878288896E-4</v>
      </c>
      <c r="G44" s="168">
        <f t="shared" ca="1" si="4"/>
        <v>0.13057914191280245</v>
      </c>
      <c r="H44" s="168">
        <f>Prem!H44</f>
        <v>0</v>
      </c>
      <c r="I44" s="168">
        <f>Prem!I44</f>
        <v>0</v>
      </c>
      <c r="J44" s="168">
        <f>Prem!J44</f>
        <v>0</v>
      </c>
      <c r="K44" s="168">
        <f>Prem!K44</f>
        <v>1</v>
      </c>
      <c r="L44" s="168">
        <f>Prem!L44</f>
        <v>0</v>
      </c>
      <c r="M44" s="168">
        <f>Prem!M44</f>
        <v>0</v>
      </c>
      <c r="N44" s="168">
        <f ca="1">IFERROR(IF(B44&lt;=Age+B,MAX(MIN(A44,PPP)*$E$10,CV!Z45+L45)*K44,""),"")</f>
        <v>11410.745514872555</v>
      </c>
      <c r="O44" s="171" cm="1">
        <f t="array" ref="O44">IFERROR(IF(B44&lt;=Age+B,VLOOKUP(IF(PPP&lt;20,PPP,"20+"),Exp_load_CV,_xlfn.IFS(A44=1,1,A44=2,2,A44=3,3,AND(A44&gt;=4,A44&lt;=10),4,AND(A44&gt;=11,A44&lt;=PPP),5,A44&gt;PPP,6)+1,FALSE),""),"")</f>
        <v>0</v>
      </c>
      <c r="P44" s="168">
        <f t="shared" ca="1" si="5"/>
        <v>1.4566406446396492</v>
      </c>
      <c r="Q44" s="168">
        <f t="shared" ca="1" si="6"/>
        <v>0</v>
      </c>
      <c r="R44" s="168">
        <f t="shared" ca="1" si="7"/>
        <v>0</v>
      </c>
      <c r="S44" s="168">
        <f t="shared" ca="1" si="8"/>
        <v>0</v>
      </c>
      <c r="T44" s="168">
        <f t="shared" ca="1" si="9"/>
        <v>0</v>
      </c>
      <c r="U44" s="168">
        <f t="shared" ca="1" si="10"/>
        <v>1.4566406446396492</v>
      </c>
      <c r="V44" s="168">
        <f t="shared" ca="1" si="11"/>
        <v>0</v>
      </c>
      <c r="W44" s="168">
        <f t="shared" ca="1" si="12"/>
        <v>0</v>
      </c>
      <c r="X44" s="168">
        <f ca="1">IFERROR(IF(B44&lt;=Age+B,IF(B44&lt;=Begin_Age,(SUM(U44:$U$124)+SUM(V44:$V$124)-SUM(W44:$W$124))/G44,0),""),"")</f>
        <v>10919.373698442632</v>
      </c>
      <c r="Y44" s="168">
        <f t="shared" si="13"/>
        <v>1</v>
      </c>
      <c r="Z44" s="168">
        <f t="shared" ca="1" si="14"/>
        <v>10919.373698442632</v>
      </c>
    </row>
    <row r="45" spans="1:26" x14ac:dyDescent="0.4">
      <c r="A45" s="168">
        <f t="shared" si="0"/>
        <v>28</v>
      </c>
      <c r="B45" s="168">
        <f t="shared" si="15"/>
        <v>47</v>
      </c>
      <c r="C45" s="168">
        <f ca="1">IFERROR(MIN(VLOOKUP(B45,INDIRECT("mort_alb_"&amp;Cover!$J$4),IF(Sex="M",2,3))/1000,1)*Mort_Int,"")</f>
        <v>1.0968E-3</v>
      </c>
      <c r="D45" s="168">
        <f t="shared" ca="1" si="1"/>
        <v>1.0836941043674384E-3</v>
      </c>
      <c r="E45" s="168">
        <f t="shared" ca="1" si="2"/>
        <v>0.98805078808118019</v>
      </c>
      <c r="F45" s="168">
        <f t="shared" ca="1" si="3"/>
        <v>1.3101613068595522E-4</v>
      </c>
      <c r="G45" s="168">
        <f t="shared" ca="1" si="4"/>
        <v>0.12482846149418594</v>
      </c>
      <c r="H45" s="168">
        <f>Prem!H45</f>
        <v>0</v>
      </c>
      <c r="I45" s="168">
        <f>Prem!I45</f>
        <v>0</v>
      </c>
      <c r="J45" s="168">
        <f>Prem!J45</f>
        <v>0</v>
      </c>
      <c r="K45" s="168">
        <f>Prem!K45</f>
        <v>1</v>
      </c>
      <c r="L45" s="168">
        <f>Prem!L45</f>
        <v>0</v>
      </c>
      <c r="M45" s="168">
        <f>Prem!M45</f>
        <v>0</v>
      </c>
      <c r="N45" s="168">
        <f ca="1">IFERROR(IF(B45&lt;=Age+B,MAX(MIN(A45,PPP)*$E$10,CV!Z46+L46)*K45,""),"")</f>
        <v>11924.229063041814</v>
      </c>
      <c r="O45" s="171" cm="1">
        <f t="array" ref="O45">IFERROR(IF(B45&lt;=Age+B,VLOOKUP(IF(PPP&lt;20,PPP,"20+"),Exp_load_CV,_xlfn.IFS(A45=1,1,A45=2,2,A45=3,3,AND(A45&gt;=4,A45&lt;=10),4,AND(A45&gt;=11,A45&lt;=PPP),5,A45&gt;PPP,6)+1,FALSE),""),"")</f>
        <v>0</v>
      </c>
      <c r="P45" s="168">
        <f t="shared" ca="1" si="5"/>
        <v>1.5622663532527516</v>
      </c>
      <c r="Q45" s="168">
        <f t="shared" ca="1" si="6"/>
        <v>0</v>
      </c>
      <c r="R45" s="168">
        <f t="shared" ca="1" si="7"/>
        <v>0</v>
      </c>
      <c r="S45" s="168">
        <f t="shared" ca="1" si="8"/>
        <v>0</v>
      </c>
      <c r="T45" s="168">
        <f t="shared" ca="1" si="9"/>
        <v>0</v>
      </c>
      <c r="U45" s="168">
        <f t="shared" ca="1" si="10"/>
        <v>1.5622663532527516</v>
      </c>
      <c r="V45" s="168">
        <f t="shared" ca="1" si="11"/>
        <v>0</v>
      </c>
      <c r="W45" s="168">
        <f t="shared" ca="1" si="12"/>
        <v>0</v>
      </c>
      <c r="X45" s="168">
        <f ca="1">IFERROR(IF(B45&lt;=Age+B,IF(B45&lt;=Begin_Age,(SUM(U45:$U$124)+SUM(V45:$V$124)-SUM(W45:$W$124))/G45,0),""),"")</f>
        <v>11410.745514872555</v>
      </c>
      <c r="Y45" s="168">
        <f t="shared" si="13"/>
        <v>1</v>
      </c>
      <c r="Z45" s="168">
        <f t="shared" ca="1" si="14"/>
        <v>11410.745514872555</v>
      </c>
    </row>
    <row r="46" spans="1:26" x14ac:dyDescent="0.4">
      <c r="A46" s="168">
        <f t="shared" si="0"/>
        <v>29</v>
      </c>
      <c r="B46" s="168">
        <f t="shared" si="15"/>
        <v>48</v>
      </c>
      <c r="C46" s="168">
        <f ca="1">IFERROR(MIN(VLOOKUP(B46,INDIRECT("mort_alb_"&amp;Cover!$J$4),IF(Sex="M",2,3))/1000,1)*Mort_Int,"")</f>
        <v>1.1768000000000002E-3</v>
      </c>
      <c r="D46" s="168">
        <f t="shared" ca="1" si="1"/>
        <v>1.1614628761919133E-3</v>
      </c>
      <c r="E46" s="168">
        <f t="shared" ca="1" si="2"/>
        <v>0.9869670939768127</v>
      </c>
      <c r="F46" s="168">
        <f t="shared" ca="1" si="3"/>
        <v>1.3437148015251507E-4</v>
      </c>
      <c r="G46" s="168">
        <f t="shared" ca="1" si="4"/>
        <v>0.11932205706949203</v>
      </c>
      <c r="H46" s="168">
        <f>Prem!H46</f>
        <v>0</v>
      </c>
      <c r="I46" s="168">
        <f>Prem!I46</f>
        <v>0</v>
      </c>
      <c r="J46" s="168">
        <f>Prem!J46</f>
        <v>0</v>
      </c>
      <c r="K46" s="168">
        <f>Prem!K46</f>
        <v>1</v>
      </c>
      <c r="L46" s="168">
        <f>Prem!L46</f>
        <v>0</v>
      </c>
      <c r="M46" s="168">
        <f>Prem!M46</f>
        <v>0</v>
      </c>
      <c r="N46" s="168">
        <f ca="1">IFERROR(IF(B46&lt;=Age+B,MAX(MIN(A46,PPP)*$E$10,CV!Z47+L47)*K46,""),"")</f>
        <v>12460.819370878695</v>
      </c>
      <c r="O46" s="171" cm="1">
        <f t="array" ref="O46">IFERROR(IF(B46&lt;=Age+B,VLOOKUP(IF(PPP&lt;20,PPP,"20+"),Exp_load_CV,_xlfn.IFS(A46=1,1,A46=2,2,A46=3,3,AND(A46&gt;=4,A46&lt;=10),4,AND(A46&gt;=11,A46&lt;=PPP),5,A46&gt;PPP,6)+1,FALSE),""),"")</f>
        <v>0</v>
      </c>
      <c r="P46" s="168">
        <f t="shared" ca="1" si="5"/>
        <v>1.6743787427781018</v>
      </c>
      <c r="Q46" s="168">
        <f t="shared" ca="1" si="6"/>
        <v>0</v>
      </c>
      <c r="R46" s="168">
        <f t="shared" ca="1" si="7"/>
        <v>0</v>
      </c>
      <c r="S46" s="168">
        <f t="shared" ca="1" si="8"/>
        <v>0</v>
      </c>
      <c r="T46" s="168">
        <f t="shared" ca="1" si="9"/>
        <v>0</v>
      </c>
      <c r="U46" s="168">
        <f t="shared" ca="1" si="10"/>
        <v>1.6743787427781018</v>
      </c>
      <c r="V46" s="168">
        <f t="shared" ca="1" si="11"/>
        <v>0</v>
      </c>
      <c r="W46" s="168">
        <f t="shared" ca="1" si="12"/>
        <v>0</v>
      </c>
      <c r="X46" s="168">
        <f ca="1">IFERROR(IF(B46&lt;=Age+B,IF(B46&lt;=Begin_Age,(SUM(U46:$U$124)+SUM(V46:$V$124)-SUM(W46:$W$124))/G46,0),""),"")</f>
        <v>11924.229063041814</v>
      </c>
      <c r="Y46" s="168">
        <f t="shared" si="13"/>
        <v>1</v>
      </c>
      <c r="Z46" s="168">
        <f t="shared" ca="1" si="14"/>
        <v>11924.229063041814</v>
      </c>
    </row>
    <row r="47" spans="1:26" x14ac:dyDescent="0.4">
      <c r="A47" s="168">
        <f t="shared" si="0"/>
        <v>30</v>
      </c>
      <c r="B47" s="168">
        <f t="shared" si="15"/>
        <v>49</v>
      </c>
      <c r="C47" s="168">
        <f ca="1">IFERROR(MIN(VLOOKUP(B47,INDIRECT("mort_alb_"&amp;Cover!$J$4),IF(Sex="M",2,3))/1000,1)*Mort_Int,"")</f>
        <v>1.2640000000000001E-3</v>
      </c>
      <c r="D47" s="168">
        <f t="shared" ca="1" si="1"/>
        <v>1.2460583177111848E-3</v>
      </c>
      <c r="E47" s="168">
        <f t="shared" ca="1" si="2"/>
        <v>0.98580563110062081</v>
      </c>
      <c r="F47" s="168">
        <f t="shared" ca="1" si="3"/>
        <v>1.3795068019059465E-4</v>
      </c>
      <c r="G47" s="168">
        <f t="shared" ca="1" si="4"/>
        <v>0.11404941518921785</v>
      </c>
      <c r="H47" s="168">
        <f>Prem!H47</f>
        <v>0</v>
      </c>
      <c r="I47" s="168">
        <f>Prem!I47</f>
        <v>0</v>
      </c>
      <c r="J47" s="168">
        <f>Prem!J47</f>
        <v>0</v>
      </c>
      <c r="K47" s="168">
        <f>Prem!K47</f>
        <v>1</v>
      </c>
      <c r="L47" s="168">
        <f>Prem!L47</f>
        <v>0</v>
      </c>
      <c r="M47" s="168">
        <f>Prem!M47</f>
        <v>0</v>
      </c>
      <c r="N47" s="168">
        <f ca="1">IFERROR(IF(B47&lt;=Age+B,MAX(MIN(A47,PPP)*$E$10,CV!Z48+L48)*K47,""),"")</f>
        <v>13021.556242568235</v>
      </c>
      <c r="O47" s="171" cm="1">
        <f t="array" ref="O47">IFERROR(IF(B47&lt;=Age+B,VLOOKUP(IF(PPP&lt;20,PPP,"20+"),Exp_load_CV,_xlfn.IFS(A47=1,1,A47=2,2,A47=3,3,AND(A47&gt;=4,A47&lt;=10),4,AND(A47&gt;=11,A47&lt;=PPP),5,A47&gt;PPP,6)+1,FALSE),""),"")</f>
        <v>0</v>
      </c>
      <c r="P47" s="168">
        <f t="shared" ca="1" si="5"/>
        <v>1.7963325408023718</v>
      </c>
      <c r="Q47" s="168">
        <f t="shared" ca="1" si="6"/>
        <v>0</v>
      </c>
      <c r="R47" s="168">
        <f t="shared" ca="1" si="7"/>
        <v>0</v>
      </c>
      <c r="S47" s="168">
        <f t="shared" ca="1" si="8"/>
        <v>0</v>
      </c>
      <c r="T47" s="168">
        <f t="shared" ca="1" si="9"/>
        <v>0</v>
      </c>
      <c r="U47" s="168">
        <f t="shared" ca="1" si="10"/>
        <v>1.7963325408023718</v>
      </c>
      <c r="V47" s="168">
        <f t="shared" ca="1" si="11"/>
        <v>0</v>
      </c>
      <c r="W47" s="168">
        <f t="shared" ca="1" si="12"/>
        <v>0</v>
      </c>
      <c r="X47" s="168">
        <f ca="1">IFERROR(IF(B47&lt;=Age+B,IF(B47&lt;=Begin_Age,(SUM(U47:$U$124)+SUM(V47:$V$124)-SUM(W47:$W$124))/G47,0),""),"")</f>
        <v>12460.819370878695</v>
      </c>
      <c r="Y47" s="168">
        <f t="shared" si="13"/>
        <v>1</v>
      </c>
      <c r="Z47" s="168">
        <f t="shared" ca="1" si="14"/>
        <v>12460.819370878695</v>
      </c>
    </row>
    <row r="48" spans="1:26" x14ac:dyDescent="0.4">
      <c r="A48" s="168">
        <f t="shared" si="0"/>
        <v>31</v>
      </c>
      <c r="B48" s="168">
        <f t="shared" si="15"/>
        <v>50</v>
      </c>
      <c r="C48" s="168">
        <f ca="1">IFERROR(MIN(VLOOKUP(B48,INDIRECT("mort_alb_"&amp;Cover!$J$4),IF(Sex="M",2,3))/1000,1)*Mort_Int,"")</f>
        <v>1.3584000000000001E-3</v>
      </c>
      <c r="D48" s="168">
        <f t="shared" ca="1" si="1"/>
        <v>1.3374257236683045E-3</v>
      </c>
      <c r="E48" s="168">
        <f t="shared" ca="1" si="2"/>
        <v>0.98455957278290962</v>
      </c>
      <c r="F48" s="168">
        <f t="shared" ca="1" si="3"/>
        <v>1.4168988872954738E-4</v>
      </c>
      <c r="G48" s="168">
        <f t="shared" ca="1" si="4"/>
        <v>0.10900024567312795</v>
      </c>
      <c r="H48" s="168">
        <f>Prem!H48</f>
        <v>0</v>
      </c>
      <c r="I48" s="168">
        <f>Prem!I48</f>
        <v>0</v>
      </c>
      <c r="J48" s="168">
        <f>Prem!J48</f>
        <v>0</v>
      </c>
      <c r="K48" s="168">
        <f>Prem!K48</f>
        <v>1</v>
      </c>
      <c r="L48" s="168">
        <f>Prem!L48</f>
        <v>0</v>
      </c>
      <c r="M48" s="168">
        <f>Prem!M48</f>
        <v>0</v>
      </c>
      <c r="N48" s="168">
        <f ca="1">IFERROR(IF(B48&lt;=Age+B,MAX(MIN(A48,PPP)*$E$10,CV!Z49+L49)*K48,""),"")</f>
        <v>13607.526273483805</v>
      </c>
      <c r="O48" s="171" cm="1">
        <f t="array" ref="O48">IFERROR(IF(B48&lt;=Age+B,VLOOKUP(IF(PPP&lt;20,PPP,"20+"),Exp_load_CV,_xlfn.IFS(A48=1,1,A48=2,2,A48=3,3,AND(A48&gt;=4,A48&lt;=10),4,AND(A48&gt;=11,A48&lt;=PPP),5,A48&gt;PPP,6)+1,FALSE),""),"")</f>
        <v>0</v>
      </c>
      <c r="P48" s="168">
        <f t="shared" ca="1" si="5"/>
        <v>1.928048883574313</v>
      </c>
      <c r="Q48" s="168">
        <f t="shared" ca="1" si="6"/>
        <v>0</v>
      </c>
      <c r="R48" s="168">
        <f t="shared" ca="1" si="7"/>
        <v>0</v>
      </c>
      <c r="S48" s="168">
        <f t="shared" ca="1" si="8"/>
        <v>0</v>
      </c>
      <c r="T48" s="168">
        <f t="shared" ca="1" si="9"/>
        <v>0</v>
      </c>
      <c r="U48" s="168">
        <f t="shared" ca="1" si="10"/>
        <v>1.928048883574313</v>
      </c>
      <c r="V48" s="168">
        <f t="shared" ca="1" si="11"/>
        <v>0</v>
      </c>
      <c r="W48" s="168">
        <f t="shared" ca="1" si="12"/>
        <v>0</v>
      </c>
      <c r="X48" s="168">
        <f ca="1">IFERROR(IF(B48&lt;=Age+B,IF(B48&lt;=Begin_Age,(SUM(U48:$U$124)+SUM(V48:$V$124)-SUM(W48:$W$124))/G48,0),""),"")</f>
        <v>13021.556242568235</v>
      </c>
      <c r="Y48" s="168">
        <f t="shared" si="13"/>
        <v>1</v>
      </c>
      <c r="Z48" s="168">
        <f t="shared" ca="1" si="14"/>
        <v>13021.556242568235</v>
      </c>
    </row>
    <row r="49" spans="1:26" x14ac:dyDescent="0.4">
      <c r="A49" s="168">
        <f t="shared" si="0"/>
        <v>32</v>
      </c>
      <c r="B49" s="168">
        <f t="shared" si="15"/>
        <v>51</v>
      </c>
      <c r="C49" s="168">
        <f ca="1">IFERROR(MIN(VLOOKUP(B49,INDIRECT("mort_alb_"&amp;Cover!$J$4),IF(Sex="M",2,3))/1000,1)*Mort_Int,"")</f>
        <v>1.4648E-3</v>
      </c>
      <c r="D49" s="168">
        <f t="shared" ca="1" si="1"/>
        <v>1.4402238010123767E-3</v>
      </c>
      <c r="E49" s="168">
        <f t="shared" ca="1" si="2"/>
        <v>0.98322214705924127</v>
      </c>
      <c r="F49" s="168">
        <f t="shared" ca="1" si="3"/>
        <v>1.4601009398345396E-4</v>
      </c>
      <c r="G49" s="168">
        <f t="shared" ca="1" si="4"/>
        <v>0.10416476530086657</v>
      </c>
      <c r="H49" s="168">
        <f>Prem!H49</f>
        <v>0</v>
      </c>
      <c r="I49" s="168">
        <f>Prem!I49</f>
        <v>0</v>
      </c>
      <c r="J49" s="168">
        <f>Prem!J49</f>
        <v>0</v>
      </c>
      <c r="K49" s="168">
        <f>Prem!K49</f>
        <v>1</v>
      </c>
      <c r="L49" s="168">
        <f>Prem!L49</f>
        <v>0</v>
      </c>
      <c r="M49" s="168">
        <f>Prem!M49</f>
        <v>0</v>
      </c>
      <c r="N49" s="168">
        <f ca="1">IFERROR(IF(B49&lt;=Age+B,MAX(MIN(A49,PPP)*$E$10,CV!Z50+L50)*K49,""),"")</f>
        <v>14219.864955790574</v>
      </c>
      <c r="O49" s="171" cm="1">
        <f t="array" ref="O49">IFERROR(IF(B49&lt;=Age+B,VLOOKUP(IF(PPP&lt;20,PPP,"20+"),Exp_load_CV,_xlfn.IFS(A49=1,1,A49=2,2,A49=3,3,AND(A49&gt;=4,A49&lt;=10),4,AND(A49&gt;=11,A49&lt;=PPP),5,A49&gt;PPP,6)+1,FALSE),""),"")</f>
        <v>0</v>
      </c>
      <c r="P49" s="168">
        <f t="shared" ca="1" si="5"/>
        <v>2.0762438186270051</v>
      </c>
      <c r="Q49" s="168">
        <f t="shared" ca="1" si="6"/>
        <v>0</v>
      </c>
      <c r="R49" s="168">
        <f t="shared" ca="1" si="7"/>
        <v>0</v>
      </c>
      <c r="S49" s="168">
        <f t="shared" ca="1" si="8"/>
        <v>0</v>
      </c>
      <c r="T49" s="168">
        <f t="shared" ca="1" si="9"/>
        <v>0</v>
      </c>
      <c r="U49" s="168">
        <f t="shared" ca="1" si="10"/>
        <v>2.0762438186270051</v>
      </c>
      <c r="V49" s="168">
        <f t="shared" ca="1" si="11"/>
        <v>0</v>
      </c>
      <c r="W49" s="168">
        <f t="shared" ca="1" si="12"/>
        <v>0</v>
      </c>
      <c r="X49" s="168">
        <f ca="1">IFERROR(IF(B49&lt;=Age+B,IF(B49&lt;=Begin_Age,(SUM(U49:$U$124)+SUM(V49:$V$124)-SUM(W49:$W$124))/G49,0),""),"")</f>
        <v>13607.526273483805</v>
      </c>
      <c r="Y49" s="168">
        <f t="shared" si="13"/>
        <v>1</v>
      </c>
      <c r="Z49" s="168">
        <f t="shared" ca="1" si="14"/>
        <v>13607.526273483805</v>
      </c>
    </row>
    <row r="50" spans="1:26" x14ac:dyDescent="0.4">
      <c r="A50" s="168">
        <f t="shared" ref="A50:A81" si="16">IF(B50&lt;=Age+B,B50-Age+1,"")</f>
        <v>33</v>
      </c>
      <c r="B50" s="168">
        <f t="shared" si="15"/>
        <v>52</v>
      </c>
      <c r="C50" s="168">
        <f ca="1">IFERROR(MIN(VLOOKUP(B50,INDIRECT("mort_alb_"&amp;Cover!$J$4),IF(Sex="M",2,3))/1000,1)*Mort_Int,"")</f>
        <v>1.5840000000000001E-3</v>
      </c>
      <c r="D50" s="168">
        <f t="shared" ca="1" si="1"/>
        <v>1.5551425664410347E-3</v>
      </c>
      <c r="E50" s="168">
        <f t="shared" ref="E50:E81" ca="1" si="17">IFERROR(IF(B50&lt;=Age+B,IF(A50=1,1,E49-D49),""),"")</f>
        <v>0.98178192325822888</v>
      </c>
      <c r="F50" s="168">
        <f t="shared" ref="F50:F81" ca="1" si="18">IFERROR(D50/(1+CV_Int)^(B50+1),"")</f>
        <v>1.5087136342867952E-4</v>
      </c>
      <c r="G50" s="168">
        <f t="shared" ref="G50:G81" ca="1" si="19">IFERROR(E50/(1+CV_Int)^B50,"")</f>
        <v>9.9533191150864953E-2</v>
      </c>
      <c r="H50" s="168">
        <f>Prem!H50</f>
        <v>0</v>
      </c>
      <c r="I50" s="168">
        <f>Prem!I50</f>
        <v>0</v>
      </c>
      <c r="J50" s="168">
        <f>Prem!J50</f>
        <v>0</v>
      </c>
      <c r="K50" s="168">
        <f>Prem!K50</f>
        <v>1</v>
      </c>
      <c r="L50" s="168">
        <f>Prem!L50</f>
        <v>0</v>
      </c>
      <c r="M50" s="168">
        <f>Prem!M50</f>
        <v>0</v>
      </c>
      <c r="N50" s="168">
        <f ca="1">IFERROR(IF(B50&lt;=Age+B,MAX(MIN(A50,PPP)*$E$10,CV!Z51+L51)*K50,""),"")</f>
        <v>14859.758878801149</v>
      </c>
      <c r="O50" s="171" cm="1">
        <f t="array" ref="O50">IFERROR(IF(B50&lt;=Age+B,VLOOKUP(IF(PPP&lt;20,PPP,"20+"),Exp_load_CV,_xlfn.IFS(A50=1,1,A50=2,2,A50=3,3,AND(A50&gt;=4,A50&lt;=10),4,AND(A50&gt;=11,A50&lt;=PPP),5,A50&gt;PPP,6)+1,FALSE),""),"")</f>
        <v>0</v>
      </c>
      <c r="P50" s="168">
        <f t="shared" ref="P50:P81" ca="1" si="20">IFERROR(IF(B50&lt;=Age+B,(M50+N50)*F50,""),"")</f>
        <v>2.2419120822661553</v>
      </c>
      <c r="Q50" s="168">
        <f t="shared" ref="Q50:Q81" ca="1" si="21">IFERROR(IF(B50&lt;=Age+B,L50*G50,""),"")</f>
        <v>0</v>
      </c>
      <c r="R50" s="168">
        <f t="shared" ref="R50:R81" ca="1" si="22">IFERROR(IF(B50&lt;=Age+B,H50*G50,""),"")</f>
        <v>0</v>
      </c>
      <c r="S50" s="168">
        <f t="shared" ref="S50:S81" ca="1" si="23">IFERROR(IF(B50&lt;=Age+B,R50*O50,""),"")</f>
        <v>0</v>
      </c>
      <c r="T50" s="168">
        <f t="shared" ref="T50:T81" ca="1" si="24">IFERROR(IF(B50&lt;=Age+B,$E$10*(1-O50)*H50,""),"")</f>
        <v>0</v>
      </c>
      <c r="U50" s="168">
        <f t="shared" ref="U50:U81" ca="1" si="25">IFERROR(IF(B50&lt;=Age+B,(N50+M50)*F50,""),"")</f>
        <v>2.2419120822661553</v>
      </c>
      <c r="V50" s="168">
        <f t="shared" ref="V50:V81" ca="1" si="26">IFERROR(IF(B50&lt;=Age+B,L50*G50,""),"")</f>
        <v>0</v>
      </c>
      <c r="W50" s="168">
        <f t="shared" ref="W50:W81" ca="1" si="27">IFERROR(IF(B50&lt;=Age+B,T50*R50,""),"")</f>
        <v>0</v>
      </c>
      <c r="X50" s="168">
        <f ca="1">IFERROR(IF(B50&lt;=Age+B,IF(B50&lt;=Begin_Age,(SUM(U50:$U$124)+SUM(V50:$V$124)-SUM(W50:$W$124))/G50,0),""),"")</f>
        <v>14219.864955790574</v>
      </c>
      <c r="Y50" s="168">
        <f t="shared" ref="Y50:Y81" si="28">IFERROR(IF(B50&lt;=Age+B,IF(A50&lt;MIN(20,PPP)+1,0.9+0.1*(A50-1)/MIN(20,PPP),1),""),"")</f>
        <v>1</v>
      </c>
      <c r="Z50" s="168">
        <f t="shared" ref="Z50:Z81" ca="1" si="29">IFERROR(IF(B50&lt;=Age+B,Y50*MAX(X50-L50,0),""),"")</f>
        <v>14219.864955790574</v>
      </c>
    </row>
    <row r="51" spans="1:26" x14ac:dyDescent="0.4">
      <c r="A51" s="168">
        <f t="shared" si="16"/>
        <v>34</v>
      </c>
      <c r="B51" s="168">
        <f t="shared" ref="B51:B82" si="30">IFERROR(IF(AND(Age&gt;=0,Age&lt;=60),IF(B50+1&lt;=Age+B,B50+1,""),""),"")</f>
        <v>53</v>
      </c>
      <c r="C51" s="168">
        <f ca="1">IFERROR(MIN(VLOOKUP(B51,INDIRECT("mort_alb_"&amp;Cover!$J$4),IF(Sex="M",2,3))/1000,1)*Mort_Int,"")</f>
        <v>1.7207999999999998E-3</v>
      </c>
      <c r="D51" s="168">
        <f t="shared" ca="1" si="1"/>
        <v>1.6867742442144282E-3</v>
      </c>
      <c r="E51" s="168">
        <f t="shared" ca="1" si="17"/>
        <v>0.98022678069178781</v>
      </c>
      <c r="F51" s="168">
        <f t="shared" ca="1" si="18"/>
        <v>1.5659477852184879E-4</v>
      </c>
      <c r="G51" s="168">
        <f t="shared" ca="1" si="19"/>
        <v>9.5096201508212422E-2</v>
      </c>
      <c r="H51" s="168">
        <f>Prem!H51</f>
        <v>0</v>
      </c>
      <c r="I51" s="168">
        <f>Prem!I51</f>
        <v>0</v>
      </c>
      <c r="J51" s="168">
        <f>Prem!J51</f>
        <v>0</v>
      </c>
      <c r="K51" s="168">
        <f>Prem!K51</f>
        <v>1</v>
      </c>
      <c r="L51" s="168">
        <f>Prem!L51</f>
        <v>0</v>
      </c>
      <c r="M51" s="168">
        <f>Prem!M51</f>
        <v>0</v>
      </c>
      <c r="N51" s="168">
        <f ca="1">IFERROR(IF(B51&lt;=Age+B,MAX(MIN(A51,PPP)*$E$10,CV!Z52+L52)*K51,""),"")</f>
        <v>15528.448028347195</v>
      </c>
      <c r="O51" s="171" cm="1">
        <f t="array" ref="O51">IFERROR(IF(B51&lt;=Age+B,VLOOKUP(IF(PPP&lt;20,PPP,"20+"),Exp_load_CV,_xlfn.IFS(A51=1,1,A51=2,2,A51=3,3,AND(A51&gt;=4,A51&lt;=10),4,AND(A51&gt;=11,A51&lt;=PPP),5,A51&gt;PPP,6)+1,FALSE),""),"")</f>
        <v>0</v>
      </c>
      <c r="P51" s="168">
        <f t="shared" ca="1" si="20"/>
        <v>2.4316738797870685</v>
      </c>
      <c r="Q51" s="168">
        <f t="shared" ca="1" si="21"/>
        <v>0</v>
      </c>
      <c r="R51" s="168">
        <f t="shared" ca="1" si="22"/>
        <v>0</v>
      </c>
      <c r="S51" s="168">
        <f t="shared" ca="1" si="23"/>
        <v>0</v>
      </c>
      <c r="T51" s="168">
        <f t="shared" ca="1" si="24"/>
        <v>0</v>
      </c>
      <c r="U51" s="168">
        <f t="shared" ca="1" si="25"/>
        <v>2.4316738797870685</v>
      </c>
      <c r="V51" s="168">
        <f t="shared" ca="1" si="26"/>
        <v>0</v>
      </c>
      <c r="W51" s="168">
        <f t="shared" ca="1" si="27"/>
        <v>0</v>
      </c>
      <c r="X51" s="168">
        <f ca="1">IFERROR(IF(B51&lt;=Age+B,IF(B51&lt;=Begin_Age,(SUM(U51:$U$124)+SUM(V51:$V$124)-SUM(W51:$W$124))/G51,0),""),"")</f>
        <v>14859.758878801149</v>
      </c>
      <c r="Y51" s="168">
        <f t="shared" si="28"/>
        <v>1</v>
      </c>
      <c r="Z51" s="168">
        <f t="shared" ca="1" si="29"/>
        <v>14859.758878801149</v>
      </c>
    </row>
    <row r="52" spans="1:26" x14ac:dyDescent="0.4">
      <c r="A52" s="168">
        <f t="shared" si="16"/>
        <v>35</v>
      </c>
      <c r="B52" s="168">
        <f t="shared" si="30"/>
        <v>54</v>
      </c>
      <c r="C52" s="168">
        <f ca="1">IFERROR(MIN(VLOOKUP(B52,INDIRECT("mort_alb_"&amp;Cover!$J$4),IF(Sex="M",2,3))/1000,1)*Mort_Int,"")</f>
        <v>1.8776000000000001E-3</v>
      </c>
      <c r="D52" s="168">
        <f t="shared" ca="1" si="1"/>
        <v>1.8373067161059639E-3</v>
      </c>
      <c r="E52" s="168">
        <f t="shared" ca="1" si="17"/>
        <v>0.97854000644757344</v>
      </c>
      <c r="F52" s="168">
        <f t="shared" ca="1" si="18"/>
        <v>1.6322462818125978E-4</v>
      </c>
      <c r="G52" s="168">
        <f t="shared" ca="1" si="19"/>
        <v>9.0844554990102522E-2</v>
      </c>
      <c r="H52" s="168">
        <f>Prem!H52</f>
        <v>0</v>
      </c>
      <c r="I52" s="168">
        <f>Prem!I52</f>
        <v>0</v>
      </c>
      <c r="J52" s="168">
        <f>Prem!J52</f>
        <v>0</v>
      </c>
      <c r="K52" s="168">
        <f>Prem!K52</f>
        <v>1</v>
      </c>
      <c r="L52" s="168">
        <f>Prem!L52</f>
        <v>0</v>
      </c>
      <c r="M52" s="168">
        <f>Prem!M52</f>
        <v>0</v>
      </c>
      <c r="N52" s="168">
        <f ca="1">IFERROR(IF(B52&lt;=Age+B,MAX(MIN(A52,PPP)*$E$10,CV!Z53+L53)*K52,""),"")</f>
        <v>16227.228189622821</v>
      </c>
      <c r="O52" s="171" cm="1">
        <f t="array" ref="O52">IFERROR(IF(B52&lt;=Age+B,VLOOKUP(IF(PPP&lt;20,PPP,"20+"),Exp_load_CV,_xlfn.IFS(A52=1,1,A52=2,2,A52=3,3,AND(A52&gt;=4,A52&lt;=10),4,AND(A52&gt;=11,A52&lt;=PPP),5,A52&gt;PPP,6)+1,FALSE),""),"")</f>
        <v>0</v>
      </c>
      <c r="P52" s="168">
        <f t="shared" ca="1" si="20"/>
        <v>2.6486832876636424</v>
      </c>
      <c r="Q52" s="168">
        <f t="shared" ca="1" si="21"/>
        <v>0</v>
      </c>
      <c r="R52" s="168">
        <f t="shared" ca="1" si="22"/>
        <v>0</v>
      </c>
      <c r="S52" s="168">
        <f t="shared" ca="1" si="23"/>
        <v>0</v>
      </c>
      <c r="T52" s="168">
        <f t="shared" ca="1" si="24"/>
        <v>0</v>
      </c>
      <c r="U52" s="168">
        <f t="shared" ca="1" si="25"/>
        <v>2.6486832876636424</v>
      </c>
      <c r="V52" s="168">
        <f t="shared" ca="1" si="26"/>
        <v>0</v>
      </c>
      <c r="W52" s="168">
        <f t="shared" ca="1" si="27"/>
        <v>0</v>
      </c>
      <c r="X52" s="168">
        <f ca="1">IFERROR(IF(B52&lt;=Age+B,IF(B52&lt;=Begin_Age,(SUM(U52:$U$124)+SUM(V52:$V$124)-SUM(W52:$W$124))/G52,0),""),"")</f>
        <v>15528.448028347195</v>
      </c>
      <c r="Y52" s="168">
        <f t="shared" si="28"/>
        <v>1</v>
      </c>
      <c r="Z52" s="168">
        <f t="shared" ca="1" si="29"/>
        <v>15528.448028347195</v>
      </c>
    </row>
    <row r="53" spans="1:26" x14ac:dyDescent="0.4">
      <c r="A53" s="168">
        <f t="shared" si="16"/>
        <v>36</v>
      </c>
      <c r="B53" s="168">
        <f t="shared" si="30"/>
        <v>55</v>
      </c>
      <c r="C53" s="168">
        <f ca="1">IFERROR(MIN(VLOOKUP(B53,INDIRECT("mort_alb_"&amp;Cover!$J$4),IF(Sex="M",2,3))/1000,1)*Mort_Int,"")</f>
        <v>2.0560000000000001E-3</v>
      </c>
      <c r="D53" s="168">
        <f t="shared" ca="1" si="1"/>
        <v>2.0081007506478972E-3</v>
      </c>
      <c r="E53" s="168">
        <f t="shared" ca="1" si="17"/>
        <v>0.97670269973146751</v>
      </c>
      <c r="F53" s="168">
        <f t="shared" ca="1" si="18"/>
        <v>1.7071560969896367E-4</v>
      </c>
      <c r="G53" s="168">
        <f t="shared" ca="1" si="19"/>
        <v>8.6769363879093869E-2</v>
      </c>
      <c r="H53" s="168">
        <f>Prem!H53</f>
        <v>0</v>
      </c>
      <c r="I53" s="168">
        <f>Prem!I53</f>
        <v>0</v>
      </c>
      <c r="J53" s="168">
        <f>Prem!J53</f>
        <v>0</v>
      </c>
      <c r="K53" s="168">
        <f>Prem!K53</f>
        <v>1</v>
      </c>
      <c r="L53" s="168">
        <f>Prem!L53</f>
        <v>0</v>
      </c>
      <c r="M53" s="168">
        <f>Prem!M53</f>
        <v>0</v>
      </c>
      <c r="N53" s="168">
        <f ca="1">IFERROR(IF(B53&lt;=Age+B,MAX(MIN(A53,PPP)*$E$10,CV!Z54+L54)*K53,""),"")</f>
        <v>16957.453458155847</v>
      </c>
      <c r="O53" s="171" cm="1">
        <f t="array" ref="O53">IFERROR(IF(B53&lt;=Age+B,VLOOKUP(IF(PPP&lt;20,PPP,"20+"),Exp_load_CV,_xlfn.IFS(A53=1,1,A53=2,2,A53=3,3,AND(A53&gt;=4,A53&lt;=10),4,AND(A53&gt;=11,A53&lt;=PPP),5,A53&gt;PPP,6)+1,FALSE),""),"")</f>
        <v>0</v>
      </c>
      <c r="P53" s="168">
        <f t="shared" ca="1" si="20"/>
        <v>2.8949020060508754</v>
      </c>
      <c r="Q53" s="168">
        <f t="shared" ca="1" si="21"/>
        <v>0</v>
      </c>
      <c r="R53" s="168">
        <f t="shared" ca="1" si="22"/>
        <v>0</v>
      </c>
      <c r="S53" s="168">
        <f t="shared" ca="1" si="23"/>
        <v>0</v>
      </c>
      <c r="T53" s="168">
        <f t="shared" ca="1" si="24"/>
        <v>0</v>
      </c>
      <c r="U53" s="168">
        <f t="shared" ca="1" si="25"/>
        <v>2.8949020060508754</v>
      </c>
      <c r="V53" s="168">
        <f t="shared" ca="1" si="26"/>
        <v>0</v>
      </c>
      <c r="W53" s="168">
        <f t="shared" ca="1" si="27"/>
        <v>0</v>
      </c>
      <c r="X53" s="168">
        <f ca="1">IFERROR(IF(B53&lt;=Age+B,IF(B53&lt;=Begin_Age,(SUM(U53:$U$124)+SUM(V53:$V$124)-SUM(W53:$W$124))/G53,0),""),"")</f>
        <v>16227.228189622821</v>
      </c>
      <c r="Y53" s="168">
        <f t="shared" si="28"/>
        <v>1</v>
      </c>
      <c r="Z53" s="168">
        <f t="shared" ca="1" si="29"/>
        <v>16227.228189622821</v>
      </c>
    </row>
    <row r="54" spans="1:26" x14ac:dyDescent="0.4">
      <c r="A54" s="168">
        <f t="shared" si="16"/>
        <v>37</v>
      </c>
      <c r="B54" s="168">
        <f t="shared" si="30"/>
        <v>56</v>
      </c>
      <c r="C54" s="168">
        <f ca="1">IFERROR(MIN(VLOOKUP(B54,INDIRECT("mort_alb_"&amp;Cover!$J$4),IF(Sex="M",2,3))/1000,1)*Mort_Int,"")</f>
        <v>2.2591999999999998E-3</v>
      </c>
      <c r="D54" s="168">
        <f t="shared" ca="1" si="1"/>
        <v>2.2020300380174674E-3</v>
      </c>
      <c r="E54" s="168">
        <f t="shared" ca="1" si="17"/>
        <v>0.97469459898081956</v>
      </c>
      <c r="F54" s="168">
        <f t="shared" ca="1" si="18"/>
        <v>1.7914087181014406E-4</v>
      </c>
      <c r="G54" s="168">
        <f t="shared" ca="1" si="19"/>
        <v>8.2862168485127716E-2</v>
      </c>
      <c r="H54" s="168">
        <f>Prem!H54</f>
        <v>0</v>
      </c>
      <c r="I54" s="168">
        <f>Prem!I54</f>
        <v>0</v>
      </c>
      <c r="J54" s="168">
        <f>Prem!J54</f>
        <v>0</v>
      </c>
      <c r="K54" s="168">
        <f>Prem!K54</f>
        <v>1</v>
      </c>
      <c r="L54" s="168">
        <f>Prem!L54</f>
        <v>0</v>
      </c>
      <c r="M54" s="168">
        <f>Prem!M54</f>
        <v>0</v>
      </c>
      <c r="N54" s="168">
        <f ca="1">IFERROR(IF(B54&lt;=Age+B,MAX(MIN(A54,PPP)*$E$10,CV!Z55+L55)*K54,""),"")</f>
        <v>17720.538863772857</v>
      </c>
      <c r="O54" s="171" cm="1">
        <f t="array" ref="O54">IFERROR(IF(B54&lt;=Age+B,VLOOKUP(IF(PPP&lt;20,PPP,"20+"),Exp_load_CV,_xlfn.IFS(A54=1,1,A54=2,2,A54=3,3,AND(A54&gt;=4,A54&lt;=10),4,AND(A54&gt;=11,A54&lt;=PPP),5,A54&gt;PPP,6)+1,FALSE),""),"")</f>
        <v>0</v>
      </c>
      <c r="P54" s="168">
        <f t="shared" ca="1" si="20"/>
        <v>3.1744727810018096</v>
      </c>
      <c r="Q54" s="168">
        <f t="shared" ca="1" si="21"/>
        <v>0</v>
      </c>
      <c r="R54" s="168">
        <f t="shared" ca="1" si="22"/>
        <v>0</v>
      </c>
      <c r="S54" s="168">
        <f t="shared" ca="1" si="23"/>
        <v>0</v>
      </c>
      <c r="T54" s="168">
        <f t="shared" ca="1" si="24"/>
        <v>0</v>
      </c>
      <c r="U54" s="168">
        <f t="shared" ca="1" si="25"/>
        <v>3.1744727810018096</v>
      </c>
      <c r="V54" s="168">
        <f t="shared" ca="1" si="26"/>
        <v>0</v>
      </c>
      <c r="W54" s="168">
        <f t="shared" ca="1" si="27"/>
        <v>0</v>
      </c>
      <c r="X54" s="168">
        <f ca="1">IFERROR(IF(B54&lt;=Age+B,IF(B54&lt;=Begin_Age,(SUM(U54:$U$124)+SUM(V54:$V$124)-SUM(W54:$W$124))/G54,0),""),"")</f>
        <v>16957.453458155847</v>
      </c>
      <c r="Y54" s="168">
        <f t="shared" si="28"/>
        <v>1</v>
      </c>
      <c r="Z54" s="168">
        <f t="shared" ca="1" si="29"/>
        <v>16957.453458155847</v>
      </c>
    </row>
    <row r="55" spans="1:26" x14ac:dyDescent="0.4">
      <c r="A55" s="168">
        <f t="shared" si="16"/>
        <v>38</v>
      </c>
      <c r="B55" s="168">
        <f t="shared" si="30"/>
        <v>57</v>
      </c>
      <c r="C55" s="168">
        <f ca="1">IFERROR(MIN(VLOOKUP(B55,INDIRECT("mort_alb_"&amp;Cover!$J$4),IF(Sex="M",2,3))/1000,1)*Mort_Int,"")</f>
        <v>2.4888000000000002E-3</v>
      </c>
      <c r="D55" s="168">
        <f t="shared" ca="1" si="1"/>
        <v>2.4203395055848462E-3</v>
      </c>
      <c r="E55" s="168">
        <f t="shared" ca="1" si="17"/>
        <v>0.97249256894280212</v>
      </c>
      <c r="F55" s="168">
        <f t="shared" ca="1" si="18"/>
        <v>1.8842192812705354E-4</v>
      </c>
      <c r="G55" s="168">
        <f t="shared" ca="1" si="19"/>
        <v>7.9114800262283375E-2</v>
      </c>
      <c r="H55" s="168">
        <f>Prem!H55</f>
        <v>0</v>
      </c>
      <c r="I55" s="168">
        <f>Prem!I55</f>
        <v>0</v>
      </c>
      <c r="J55" s="168">
        <f>Prem!J55</f>
        <v>0</v>
      </c>
      <c r="K55" s="168">
        <f>Prem!K55</f>
        <v>1</v>
      </c>
      <c r="L55" s="168">
        <f>Prem!L55</f>
        <v>0</v>
      </c>
      <c r="M55" s="168">
        <f>Prem!M55</f>
        <v>0</v>
      </c>
      <c r="N55" s="168">
        <f ca="1">IFERROR(IF(B55&lt;=Age+B,MAX(MIN(A55,PPP)*$E$10,CV!Z56+L56)*K55,""),"")</f>
        <v>18517.963112642628</v>
      </c>
      <c r="O55" s="171" cm="1">
        <f t="array" ref="O55">IFERROR(IF(B55&lt;=Age+B,VLOOKUP(IF(PPP&lt;20,PPP,"20+"),Exp_load_CV,_xlfn.IFS(A55=1,1,A55=2,2,A55=3,3,AND(A55&gt;=4,A55&lt;=10),4,AND(A55&gt;=11,A55&lt;=PPP),5,A55&gt;PPP,6)+1,FALSE),""),"")</f>
        <v>0</v>
      </c>
      <c r="P55" s="168">
        <f t="shared" ca="1" si="20"/>
        <v>3.489190314669778</v>
      </c>
      <c r="Q55" s="168">
        <f t="shared" ca="1" si="21"/>
        <v>0</v>
      </c>
      <c r="R55" s="168">
        <f t="shared" ca="1" si="22"/>
        <v>0</v>
      </c>
      <c r="S55" s="168">
        <f t="shared" ca="1" si="23"/>
        <v>0</v>
      </c>
      <c r="T55" s="168">
        <f t="shared" ca="1" si="24"/>
        <v>0</v>
      </c>
      <c r="U55" s="168">
        <f t="shared" ca="1" si="25"/>
        <v>3.489190314669778</v>
      </c>
      <c r="V55" s="168">
        <f t="shared" ca="1" si="26"/>
        <v>0</v>
      </c>
      <c r="W55" s="168">
        <f t="shared" ca="1" si="27"/>
        <v>0</v>
      </c>
      <c r="X55" s="168">
        <f ca="1">IFERROR(IF(B55&lt;=Age+B,IF(B55&lt;=Begin_Age,(SUM(U55:$U$124)+SUM(V55:$V$124)-SUM(W55:$W$124))/G55,0),""),"")</f>
        <v>17720.538863772857</v>
      </c>
      <c r="Y55" s="168">
        <f t="shared" si="28"/>
        <v>1</v>
      </c>
      <c r="Z55" s="168">
        <f t="shared" ca="1" si="29"/>
        <v>17720.538863772857</v>
      </c>
    </row>
    <row r="56" spans="1:26" x14ac:dyDescent="0.4">
      <c r="A56" s="168">
        <f t="shared" si="16"/>
        <v>39</v>
      </c>
      <c r="B56" s="168">
        <f t="shared" si="30"/>
        <v>58</v>
      </c>
      <c r="C56" s="168">
        <f ca="1">IFERROR(MIN(VLOOKUP(B56,INDIRECT("mort_alb_"&amp;Cover!$J$4),IF(Sex="M",2,3))/1000,1)*Mort_Int,"")</f>
        <v>2.7472E-3</v>
      </c>
      <c r="D56" s="168">
        <f t="shared" ca="1" si="1"/>
        <v>2.6649824287099232E-3</v>
      </c>
      <c r="E56" s="168">
        <f t="shared" ca="1" si="17"/>
        <v>0.97007222943721727</v>
      </c>
      <c r="F56" s="168">
        <f t="shared" ca="1" si="18"/>
        <v>1.9853323237760265E-4</v>
      </c>
      <c r="G56" s="168">
        <f t="shared" ca="1" si="19"/>
        <v>7.5519520906593904E-2</v>
      </c>
      <c r="H56" s="168">
        <f>Prem!H56</f>
        <v>0</v>
      </c>
      <c r="I56" s="168">
        <f>Prem!I56</f>
        <v>0</v>
      </c>
      <c r="J56" s="168">
        <f>Prem!J56</f>
        <v>0</v>
      </c>
      <c r="K56" s="168">
        <f>Prem!K56</f>
        <v>1</v>
      </c>
      <c r="L56" s="168">
        <f>Prem!L56</f>
        <v>0</v>
      </c>
      <c r="M56" s="168">
        <f>Prem!M56</f>
        <v>0</v>
      </c>
      <c r="N56" s="168">
        <f ca="1">IFERROR(IF(B56&lt;=Age+B,MAX(MIN(A56,PPP)*$E$10,CV!Z57+L57)*K56,""),"")</f>
        <v>19351.271452711546</v>
      </c>
      <c r="O56" s="171" cm="1">
        <f t="array" ref="O56">IFERROR(IF(B56&lt;=Age+B,VLOOKUP(IF(PPP&lt;20,PPP,"20+"),Exp_load_CV,_xlfn.IFS(A56=1,1,A56=2,2,A56=3,3,AND(A56&gt;=4,A56&lt;=10),4,AND(A56&gt;=11,A56&lt;=PPP),5,A56&gt;PPP,6)+1,FALSE),""),"")</f>
        <v>0</v>
      </c>
      <c r="P56" s="168">
        <f t="shared" ca="1" si="20"/>
        <v>3.8418704721232499</v>
      </c>
      <c r="Q56" s="168">
        <f t="shared" ca="1" si="21"/>
        <v>0</v>
      </c>
      <c r="R56" s="168">
        <f t="shared" ca="1" si="22"/>
        <v>0</v>
      </c>
      <c r="S56" s="168">
        <f t="shared" ca="1" si="23"/>
        <v>0</v>
      </c>
      <c r="T56" s="168">
        <f t="shared" ca="1" si="24"/>
        <v>0</v>
      </c>
      <c r="U56" s="168">
        <f t="shared" ca="1" si="25"/>
        <v>3.8418704721232499</v>
      </c>
      <c r="V56" s="168">
        <f t="shared" ca="1" si="26"/>
        <v>0</v>
      </c>
      <c r="W56" s="168">
        <f t="shared" ca="1" si="27"/>
        <v>0</v>
      </c>
      <c r="X56" s="168">
        <f ca="1">IFERROR(IF(B56&lt;=Age+B,IF(B56&lt;=Begin_Age,(SUM(U56:$U$124)+SUM(V56:$V$124)-SUM(W56:$W$124))/G56,0),""),"")</f>
        <v>18517.963112642628</v>
      </c>
      <c r="Y56" s="168">
        <f t="shared" si="28"/>
        <v>1</v>
      </c>
      <c r="Z56" s="168">
        <f t="shared" ca="1" si="29"/>
        <v>18517.963112642628</v>
      </c>
    </row>
    <row r="57" spans="1:26" x14ac:dyDescent="0.4">
      <c r="A57" s="168">
        <f t="shared" si="16"/>
        <v>40</v>
      </c>
      <c r="B57" s="168">
        <f t="shared" si="30"/>
        <v>59</v>
      </c>
      <c r="C57" s="168">
        <f ca="1">IFERROR(MIN(VLOOKUP(B57,INDIRECT("mort_alb_"&amp;Cover!$J$4),IF(Sex="M",2,3))/1000,1)*Mort_Int,"")</f>
        <v>3.0352000000000001E-3</v>
      </c>
      <c r="D57" s="168">
        <f t="shared" ca="1" si="1"/>
        <v>2.9362744761202214E-3</v>
      </c>
      <c r="E57" s="168">
        <f t="shared" ca="1" si="17"/>
        <v>0.96740724700850733</v>
      </c>
      <c r="F57" s="168">
        <f t="shared" ca="1" si="18"/>
        <v>2.0932409544265954E-4</v>
      </c>
      <c r="G57" s="168">
        <f t="shared" ca="1" si="19"/>
        <v>7.2068950888764888E-2</v>
      </c>
      <c r="H57" s="168">
        <f>Prem!H57</f>
        <v>0</v>
      </c>
      <c r="I57" s="168">
        <f>Prem!I57</f>
        <v>0</v>
      </c>
      <c r="J57" s="168">
        <f>Prem!J57</f>
        <v>0</v>
      </c>
      <c r="K57" s="168">
        <f>Prem!K57</f>
        <v>1</v>
      </c>
      <c r="L57" s="168">
        <f>Prem!L57</f>
        <v>0</v>
      </c>
      <c r="M57" s="168">
        <f>Prem!M57</f>
        <v>0</v>
      </c>
      <c r="N57" s="168">
        <f ca="1">IFERROR(IF(B57&lt;=Age+B,MAX(MIN(A57,PPP)*$E$10,CV!Z58+L58)*K57,""),"")</f>
        <v>20222.078668083563</v>
      </c>
      <c r="O57" s="171" cm="1">
        <f t="array" ref="O57">IFERROR(IF(B57&lt;=Age+B,VLOOKUP(IF(PPP&lt;20,PPP,"20+"),Exp_load_CV,_xlfn.IFS(A57=1,1,A57=2,2,A57=3,3,AND(A57&gt;=4,A57&lt;=10),4,AND(A57&gt;=11,A57&lt;=PPP),5,A57&gt;PPP,6)+1,FALSE),""),"")</f>
        <v>0</v>
      </c>
      <c r="P57" s="168">
        <f t="shared" ca="1" si="20"/>
        <v>4.232968325166893</v>
      </c>
      <c r="Q57" s="168">
        <f t="shared" ca="1" si="21"/>
        <v>0</v>
      </c>
      <c r="R57" s="168">
        <f t="shared" ca="1" si="22"/>
        <v>0</v>
      </c>
      <c r="S57" s="168">
        <f t="shared" ca="1" si="23"/>
        <v>0</v>
      </c>
      <c r="T57" s="168">
        <f t="shared" ca="1" si="24"/>
        <v>0</v>
      </c>
      <c r="U57" s="168">
        <f t="shared" ca="1" si="25"/>
        <v>4.232968325166893</v>
      </c>
      <c r="V57" s="168">
        <f t="shared" ca="1" si="26"/>
        <v>0</v>
      </c>
      <c r="W57" s="168">
        <f t="shared" ca="1" si="27"/>
        <v>0</v>
      </c>
      <c r="X57" s="168">
        <f ca="1">IFERROR(IF(B57&lt;=Age+B,IF(B57&lt;=Begin_Age,(SUM(U57:$U$124)+SUM(V57:$V$124)-SUM(W57:$W$124))/G57,0),""),"")</f>
        <v>19351.271452711546</v>
      </c>
      <c r="Y57" s="168">
        <f t="shared" si="28"/>
        <v>1</v>
      </c>
      <c r="Z57" s="168">
        <f t="shared" ca="1" si="29"/>
        <v>19351.271452711546</v>
      </c>
    </row>
    <row r="58" spans="1:26" x14ac:dyDescent="0.4">
      <c r="A58" s="168">
        <f t="shared" si="16"/>
        <v>41</v>
      </c>
      <c r="B58" s="168">
        <f t="shared" si="30"/>
        <v>60</v>
      </c>
      <c r="C58" s="168">
        <f ca="1">IFERROR(MIN(VLOOKUP(B58,INDIRECT("mort_alb_"&amp;Cover!$J$4),IF(Sex="M",2,3))/1000,1)*Mort_Int,"")</f>
        <v>3.3552E-3</v>
      </c>
      <c r="D58" s="168">
        <f t="shared" ca="1" si="1"/>
        <v>3.2359930070406653E-3</v>
      </c>
      <c r="E58" s="168">
        <f t="shared" ca="1" si="17"/>
        <v>0.96447097253238712</v>
      </c>
      <c r="F58" s="168">
        <f t="shared" ca="1" si="18"/>
        <v>2.2075668160319444E-4</v>
      </c>
      <c r="G58" s="168">
        <f t="shared" ca="1" si="19"/>
        <v>6.8756179147394569E-2</v>
      </c>
      <c r="H58" s="168">
        <f>Prem!H58</f>
        <v>0</v>
      </c>
      <c r="I58" s="168">
        <f>Prem!I58</f>
        <v>1.19</v>
      </c>
      <c r="J58" s="168">
        <f>Prem!J58</f>
        <v>1.19</v>
      </c>
      <c r="K58" s="168">
        <f>Prem!K58</f>
        <v>0</v>
      </c>
      <c r="L58" s="168">
        <f>Prem!L58</f>
        <v>1190</v>
      </c>
      <c r="M58" s="168">
        <f>Prem!M58</f>
        <v>22610</v>
      </c>
      <c r="N58" s="168">
        <f ca="1">IFERROR(IF(B58&lt;=Age+B,MAX(MIN(A58,PPP)*$E$10,CV!Z59+L59)*K58,""),"")</f>
        <v>0</v>
      </c>
      <c r="O58" s="171" cm="1">
        <f t="array" ref="O58">IFERROR(IF(B58&lt;=Age+B,VLOOKUP(IF(PPP&lt;20,PPP,"20+"),Exp_load_CV,_xlfn.IFS(A58=1,1,A58=2,2,A58=3,3,AND(A58&gt;=4,A58&lt;=10),4,AND(A58&gt;=11,A58&lt;=PPP),5,A58&gt;PPP,6)+1,FALSE),""),"")</f>
        <v>0</v>
      </c>
      <c r="P58" s="168">
        <f t="shared" ca="1" si="20"/>
        <v>4.9913085710482266</v>
      </c>
      <c r="Q58" s="168">
        <f t="shared" ca="1" si="21"/>
        <v>81.819853185399538</v>
      </c>
      <c r="R58" s="168">
        <f t="shared" ca="1" si="22"/>
        <v>0</v>
      </c>
      <c r="S58" s="168">
        <f t="shared" ca="1" si="23"/>
        <v>0</v>
      </c>
      <c r="T58" s="168">
        <f t="shared" ca="1" si="24"/>
        <v>0</v>
      </c>
      <c r="U58" s="168">
        <f t="shared" ca="1" si="25"/>
        <v>4.9913085710482266</v>
      </c>
      <c r="V58" s="168">
        <f t="shared" ca="1" si="26"/>
        <v>81.819853185399538</v>
      </c>
      <c r="W58" s="168">
        <f t="shared" ca="1" si="27"/>
        <v>0</v>
      </c>
      <c r="X58" s="168">
        <f ca="1">IFERROR(IF(B58&lt;=Age+B,IF(B58&lt;=Begin_Age,(SUM(U58:$U$124)+SUM(V58:$V$124)-SUM(W58:$W$124))/G58,0),""),"")</f>
        <v>20222.078668083563</v>
      </c>
      <c r="Y58" s="168">
        <f t="shared" si="28"/>
        <v>1</v>
      </c>
      <c r="Z58" s="168">
        <f t="shared" ca="1" si="29"/>
        <v>19032.078668083563</v>
      </c>
    </row>
    <row r="59" spans="1:26" x14ac:dyDescent="0.4">
      <c r="A59" s="168">
        <f t="shared" si="16"/>
        <v>42</v>
      </c>
      <c r="B59" s="168">
        <f t="shared" si="30"/>
        <v>61</v>
      </c>
      <c r="C59" s="168">
        <f ca="1">IFERROR(MIN(VLOOKUP(B59,INDIRECT("mort_alb_"&amp;Cover!$J$4),IF(Sex="M",2,3))/1000,1)*Mort_Int,"")</f>
        <v>3.7079999999999995E-3</v>
      </c>
      <c r="D59" s="168">
        <f t="shared" ca="1" si="1"/>
        <v>3.564259304079984E-3</v>
      </c>
      <c r="E59" s="168">
        <f t="shared" ca="1" si="17"/>
        <v>0.96123497952534642</v>
      </c>
      <c r="F59" s="168">
        <f t="shared" ca="1" si="18"/>
        <v>2.3268012274742987E-4</v>
      </c>
      <c r="G59" s="168">
        <f t="shared" ca="1" si="19"/>
        <v>6.5574630062315037E-2</v>
      </c>
      <c r="H59" s="168">
        <f>Prem!H59</f>
        <v>0</v>
      </c>
      <c r="I59" s="168">
        <f>Prem!I59</f>
        <v>1.19</v>
      </c>
      <c r="J59" s="168">
        <f>Prem!J59</f>
        <v>1.19</v>
      </c>
      <c r="K59" s="168">
        <f>Prem!K59</f>
        <v>0</v>
      </c>
      <c r="L59" s="168">
        <f>Prem!L59</f>
        <v>1190</v>
      </c>
      <c r="M59" s="168">
        <f>Prem!M59</f>
        <v>21420</v>
      </c>
      <c r="N59" s="168">
        <f ca="1">IFERROR(IF(B59&lt;=Age+B,MAX(MIN(A59,PPP)*$E$10,CV!Z60+L60)*K59,""),"")</f>
        <v>0</v>
      </c>
      <c r="O59" s="171" cm="1">
        <f t="array" ref="O59">IFERROR(IF(B59&lt;=Age+B,VLOOKUP(IF(PPP&lt;20,PPP,"20+"),Exp_load_CV,_xlfn.IFS(A59=1,1,A59=2,2,A59=3,3,AND(A59&gt;=4,A59&lt;=10),4,AND(A59&gt;=11,A59&lt;=PPP),5,A59&gt;PPP,6)+1,FALSE),""),"")</f>
        <v>0</v>
      </c>
      <c r="P59" s="168">
        <f t="shared" ca="1" si="20"/>
        <v>4.9840082292499481</v>
      </c>
      <c r="Q59" s="168">
        <f t="shared" ca="1" si="21"/>
        <v>78.033809774154889</v>
      </c>
      <c r="R59" s="168">
        <f t="shared" ca="1" si="22"/>
        <v>0</v>
      </c>
      <c r="S59" s="168">
        <f t="shared" ca="1" si="23"/>
        <v>0</v>
      </c>
      <c r="T59" s="168">
        <f t="shared" ca="1" si="24"/>
        <v>0</v>
      </c>
      <c r="U59" s="168">
        <f t="shared" ca="1" si="25"/>
        <v>4.9840082292499481</v>
      </c>
      <c r="V59" s="168">
        <f t="shared" ca="1" si="26"/>
        <v>78.033809774154889</v>
      </c>
      <c r="W59" s="168">
        <f t="shared" ca="1" si="27"/>
        <v>0</v>
      </c>
      <c r="X59" s="168">
        <f>IFERROR(IF(B59&lt;=Age+B,IF(B59&lt;=Begin_Age,(SUM(U59:$U$124)+SUM(V59:$V$124)-SUM(W59:$W$124))/G59,0),""),"")</f>
        <v>0</v>
      </c>
      <c r="Y59" s="168">
        <f t="shared" si="28"/>
        <v>1</v>
      </c>
      <c r="Z59" s="168">
        <f t="shared" si="29"/>
        <v>0</v>
      </c>
    </row>
    <row r="60" spans="1:26" x14ac:dyDescent="0.4">
      <c r="A60" s="168">
        <f t="shared" si="16"/>
        <v>43</v>
      </c>
      <c r="B60" s="168">
        <f t="shared" si="30"/>
        <v>62</v>
      </c>
      <c r="C60" s="168">
        <f ca="1">IFERROR(MIN(VLOOKUP(B60,INDIRECT("mort_alb_"&amp;Cover!$J$4),IF(Sex="M",2,3))/1000,1)*Mort_Int,"")</f>
        <v>4.0927999999999997E-3</v>
      </c>
      <c r="D60" s="168">
        <f t="shared" ca="1" si="1"/>
        <v>3.9195547237215987E-3</v>
      </c>
      <c r="E60" s="168">
        <f t="shared" ca="1" si="17"/>
        <v>0.95767072022126642</v>
      </c>
      <c r="F60" s="168">
        <f t="shared" ca="1" si="18"/>
        <v>2.448558216326322E-4</v>
      </c>
      <c r="G60" s="168">
        <f t="shared" ca="1" si="19"/>
        <v>6.2518162042147371E-2</v>
      </c>
      <c r="H60" s="168">
        <f>Prem!H60</f>
        <v>0</v>
      </c>
      <c r="I60" s="168">
        <f>Prem!I60</f>
        <v>1.19</v>
      </c>
      <c r="J60" s="168">
        <f>Prem!J60</f>
        <v>1.19</v>
      </c>
      <c r="K60" s="168">
        <f>Prem!K60</f>
        <v>0</v>
      </c>
      <c r="L60" s="168">
        <f>Prem!L60</f>
        <v>1190</v>
      </c>
      <c r="M60" s="168">
        <f>Prem!M60</f>
        <v>20230</v>
      </c>
      <c r="N60" s="168">
        <f ca="1">IFERROR(IF(B60&lt;=Age+B,MAX(MIN(A60,PPP)*$E$10,CV!Z61+L61)*K60,""),"")</f>
        <v>0</v>
      </c>
      <c r="O60" s="171" cm="1">
        <f t="array" ref="O60">IFERROR(IF(B60&lt;=Age+B,VLOOKUP(IF(PPP&lt;20,PPP,"20+"),Exp_load_CV,_xlfn.IFS(A60=1,1,A60=2,2,A60=3,3,AND(A60&gt;=4,A60&lt;=10),4,AND(A60&gt;=11,A60&lt;=PPP),5,A60&gt;PPP,6)+1,FALSE),""),"")</f>
        <v>0</v>
      </c>
      <c r="P60" s="168">
        <f t="shared" ca="1" si="20"/>
        <v>4.9534332716281497</v>
      </c>
      <c r="Q60" s="168">
        <f t="shared" ca="1" si="21"/>
        <v>74.396612830155377</v>
      </c>
      <c r="R60" s="168">
        <f t="shared" ca="1" si="22"/>
        <v>0</v>
      </c>
      <c r="S60" s="168">
        <f t="shared" ca="1" si="23"/>
        <v>0</v>
      </c>
      <c r="T60" s="168">
        <f t="shared" ca="1" si="24"/>
        <v>0</v>
      </c>
      <c r="U60" s="168">
        <f t="shared" ca="1" si="25"/>
        <v>4.9534332716281497</v>
      </c>
      <c r="V60" s="168">
        <f t="shared" ca="1" si="26"/>
        <v>74.396612830155377</v>
      </c>
      <c r="W60" s="168">
        <f t="shared" ca="1" si="27"/>
        <v>0</v>
      </c>
      <c r="X60" s="168">
        <f>IFERROR(IF(B60&lt;=Age+B,IF(B60&lt;=Begin_Age,(SUM(U60:$U$124)+SUM(V60:$V$124)-SUM(W60:$W$124))/G60,0),""),"")</f>
        <v>0</v>
      </c>
      <c r="Y60" s="168">
        <f t="shared" si="28"/>
        <v>1</v>
      </c>
      <c r="Z60" s="168">
        <f t="shared" si="29"/>
        <v>0</v>
      </c>
    </row>
    <row r="61" spans="1:26" x14ac:dyDescent="0.4">
      <c r="A61" s="168">
        <f t="shared" si="16"/>
        <v>44</v>
      </c>
      <c r="B61" s="168">
        <f t="shared" si="30"/>
        <v>63</v>
      </c>
      <c r="C61" s="168">
        <f ca="1">IFERROR(MIN(VLOOKUP(B61,INDIRECT("mort_alb_"&amp;Cover!$J$4),IF(Sex="M",2,3))/1000,1)*Mort_Int,"")</f>
        <v>4.5063999999999998E-3</v>
      </c>
      <c r="D61" s="168">
        <f t="shared" ca="1" si="1"/>
        <v>4.297984252198136E-3</v>
      </c>
      <c r="E61" s="168">
        <f t="shared" ca="1" si="17"/>
        <v>0.9537511654975448</v>
      </c>
      <c r="F61" s="168">
        <f t="shared" ca="1" si="18"/>
        <v>2.5693438641951461E-4</v>
      </c>
      <c r="G61" s="168">
        <f t="shared" ca="1" si="19"/>
        <v>5.9581136563197371E-2</v>
      </c>
      <c r="H61" s="168">
        <f>Prem!H61</f>
        <v>0</v>
      </c>
      <c r="I61" s="168">
        <f>Prem!I61</f>
        <v>1.19</v>
      </c>
      <c r="J61" s="168">
        <f>Prem!J61</f>
        <v>1.19</v>
      </c>
      <c r="K61" s="168">
        <f>Prem!K61</f>
        <v>0</v>
      </c>
      <c r="L61" s="168">
        <f>Prem!L61</f>
        <v>1190</v>
      </c>
      <c r="M61" s="168">
        <f>Prem!M61</f>
        <v>19040</v>
      </c>
      <c r="N61" s="168">
        <f ca="1">IFERROR(IF(B61&lt;=Age+B,MAX(MIN(A61,PPP)*$E$10,CV!Z62+L62)*K61,""),"")</f>
        <v>0</v>
      </c>
      <c r="O61" s="171" cm="1">
        <f t="array" ref="O61">IFERROR(IF(B61&lt;=Age+B,VLOOKUP(IF(PPP&lt;20,PPP,"20+"),Exp_load_CV,_xlfn.IFS(A61=1,1,A61=2,2,A61=3,3,AND(A61&gt;=4,A61&lt;=10),4,AND(A61&gt;=11,A61&lt;=PPP),5,A61&gt;PPP,6)+1,FALSE),""),"")</f>
        <v>0</v>
      </c>
      <c r="P61" s="168">
        <f t="shared" ca="1" si="20"/>
        <v>4.8920307174275584</v>
      </c>
      <c r="Q61" s="168">
        <f t="shared" ca="1" si="21"/>
        <v>70.901552510204866</v>
      </c>
      <c r="R61" s="168">
        <f t="shared" ca="1" si="22"/>
        <v>0</v>
      </c>
      <c r="S61" s="168">
        <f t="shared" ca="1" si="23"/>
        <v>0</v>
      </c>
      <c r="T61" s="168">
        <f t="shared" ca="1" si="24"/>
        <v>0</v>
      </c>
      <c r="U61" s="168">
        <f t="shared" ca="1" si="25"/>
        <v>4.8920307174275584</v>
      </c>
      <c r="V61" s="168">
        <f t="shared" ca="1" si="26"/>
        <v>70.901552510204866</v>
      </c>
      <c r="W61" s="168">
        <f t="shared" ca="1" si="27"/>
        <v>0</v>
      </c>
      <c r="X61" s="168">
        <f>IFERROR(IF(B61&lt;=Age+B,IF(B61&lt;=Begin_Age,(SUM(U61:$U$124)+SUM(V61:$V$124)-SUM(W61:$W$124))/G61,0),""),"")</f>
        <v>0</v>
      </c>
      <c r="Y61" s="168">
        <f t="shared" si="28"/>
        <v>1</v>
      </c>
      <c r="Z61" s="168">
        <f t="shared" si="29"/>
        <v>0</v>
      </c>
    </row>
    <row r="62" spans="1:26" x14ac:dyDescent="0.4">
      <c r="A62" s="168">
        <f t="shared" si="16"/>
        <v>45</v>
      </c>
      <c r="B62" s="168">
        <f t="shared" si="30"/>
        <v>64</v>
      </c>
      <c r="C62" s="168">
        <f ca="1">IFERROR(MIN(VLOOKUP(B62,INDIRECT("mort_alb_"&amp;Cover!$J$4),IF(Sex="M",2,3))/1000,1)*Mort_Int,"")</f>
        <v>4.9440000000000005E-3</v>
      </c>
      <c r="D62" s="168">
        <f t="shared" ca="1" si="1"/>
        <v>4.6940965280769945E-3</v>
      </c>
      <c r="E62" s="168">
        <f t="shared" ca="1" si="17"/>
        <v>0.94945318124534661</v>
      </c>
      <c r="F62" s="168">
        <f t="shared" ca="1" si="18"/>
        <v>2.6853020104823541E-4</v>
      </c>
      <c r="G62" s="168">
        <f t="shared" ca="1" si="19"/>
        <v>5.6758507300850726E-2</v>
      </c>
      <c r="H62" s="168">
        <f>Prem!H62</f>
        <v>0</v>
      </c>
      <c r="I62" s="168">
        <f>Prem!I62</f>
        <v>1.19</v>
      </c>
      <c r="J62" s="168">
        <f>Prem!J62</f>
        <v>1.19</v>
      </c>
      <c r="K62" s="168">
        <f>Prem!K62</f>
        <v>0</v>
      </c>
      <c r="L62" s="168">
        <f>Prem!L62</f>
        <v>1190</v>
      </c>
      <c r="M62" s="168">
        <f>Prem!M62</f>
        <v>17850</v>
      </c>
      <c r="N62" s="168">
        <f ca="1">IFERROR(IF(B62&lt;=Age+B,MAX(MIN(A62,PPP)*$E$10,CV!Z63+L63)*K62,""),"")</f>
        <v>0</v>
      </c>
      <c r="O62" s="171" cm="1">
        <f t="array" ref="O62">IFERROR(IF(B62&lt;=Age+B,VLOOKUP(IF(PPP&lt;20,PPP,"20+"),Exp_load_CV,_xlfn.IFS(A62=1,1,A62=2,2,A62=3,3,AND(A62&gt;=4,A62&lt;=10),4,AND(A62&gt;=11,A62&lt;=PPP),5,A62&gt;PPP,6)+1,FALSE),""),"")</f>
        <v>0</v>
      </c>
      <c r="P62" s="168">
        <f t="shared" ca="1" si="20"/>
        <v>4.7932640887110018</v>
      </c>
      <c r="Q62" s="168">
        <f t="shared" ca="1" si="21"/>
        <v>67.54262368801237</v>
      </c>
      <c r="R62" s="168">
        <f t="shared" ca="1" si="22"/>
        <v>0</v>
      </c>
      <c r="S62" s="168">
        <f t="shared" ca="1" si="23"/>
        <v>0</v>
      </c>
      <c r="T62" s="168">
        <f t="shared" ca="1" si="24"/>
        <v>0</v>
      </c>
      <c r="U62" s="168">
        <f t="shared" ca="1" si="25"/>
        <v>4.7932640887110018</v>
      </c>
      <c r="V62" s="168">
        <f t="shared" ca="1" si="26"/>
        <v>67.54262368801237</v>
      </c>
      <c r="W62" s="168">
        <f t="shared" ca="1" si="27"/>
        <v>0</v>
      </c>
      <c r="X62" s="168">
        <f>IFERROR(IF(B62&lt;=Age+B,IF(B62&lt;=Begin_Age,(SUM(U62:$U$124)+SUM(V62:$V$124)-SUM(W62:$W$124))/G62,0),""),"")</f>
        <v>0</v>
      </c>
      <c r="Y62" s="168">
        <f t="shared" si="28"/>
        <v>1</v>
      </c>
      <c r="Z62" s="168">
        <f t="shared" si="29"/>
        <v>0</v>
      </c>
    </row>
    <row r="63" spans="1:26" x14ac:dyDescent="0.4">
      <c r="A63" s="168">
        <f t="shared" si="16"/>
        <v>46</v>
      </c>
      <c r="B63" s="168">
        <f t="shared" si="30"/>
        <v>65</v>
      </c>
      <c r="C63" s="168">
        <f ca="1">IFERROR(MIN(VLOOKUP(B63,INDIRECT("mort_alb_"&amp;Cover!$J$4),IF(Sex="M",2,3))/1000,1)*Mort_Int,"")</f>
        <v>5.4016000000000003E-3</v>
      </c>
      <c r="D63" s="168">
        <f t="shared" ca="1" si="1"/>
        <v>5.103210672008804E-3</v>
      </c>
      <c r="E63" s="168">
        <f t="shared" ca="1" si="17"/>
        <v>0.94475908471726966</v>
      </c>
      <c r="F63" s="168">
        <f t="shared" ca="1" si="18"/>
        <v>2.793626410835503E-4</v>
      </c>
      <c r="G63" s="168">
        <f t="shared" ca="1" si="19"/>
        <v>5.4045830852397433E-2</v>
      </c>
      <c r="H63" s="168">
        <f>Prem!H63</f>
        <v>0</v>
      </c>
      <c r="I63" s="168">
        <f>Prem!I63</f>
        <v>1.19</v>
      </c>
      <c r="J63" s="168">
        <f>Prem!J63</f>
        <v>1.19</v>
      </c>
      <c r="K63" s="168">
        <f>Prem!K63</f>
        <v>0</v>
      </c>
      <c r="L63" s="168">
        <f>Prem!L63</f>
        <v>1190</v>
      </c>
      <c r="M63" s="168">
        <f>Prem!M63</f>
        <v>16660</v>
      </c>
      <c r="N63" s="168">
        <f ca="1">IFERROR(IF(B63&lt;=Age+B,MAX(MIN(A63,PPP)*$E$10,CV!Z64+L64)*K63,""),"")</f>
        <v>0</v>
      </c>
      <c r="O63" s="171" cm="1">
        <f t="array" ref="O63">IFERROR(IF(B63&lt;=Age+B,VLOOKUP(IF(PPP&lt;20,PPP,"20+"),Exp_load_CV,_xlfn.IFS(A63=1,1,A63=2,2,A63=3,3,AND(A63&gt;=4,A63&lt;=10),4,AND(A63&gt;=11,A63&lt;=PPP),5,A63&gt;PPP,6)+1,FALSE),""),"")</f>
        <v>0</v>
      </c>
      <c r="P63" s="168">
        <f t="shared" ca="1" si="20"/>
        <v>4.6541816004519481</v>
      </c>
      <c r="Q63" s="168">
        <f t="shared" ca="1" si="21"/>
        <v>64.314538714352949</v>
      </c>
      <c r="R63" s="168">
        <f t="shared" ca="1" si="22"/>
        <v>0</v>
      </c>
      <c r="S63" s="168">
        <f t="shared" ca="1" si="23"/>
        <v>0</v>
      </c>
      <c r="T63" s="168">
        <f t="shared" ca="1" si="24"/>
        <v>0</v>
      </c>
      <c r="U63" s="168">
        <f t="shared" ca="1" si="25"/>
        <v>4.6541816004519481</v>
      </c>
      <c r="V63" s="168">
        <f t="shared" ca="1" si="26"/>
        <v>64.314538714352949</v>
      </c>
      <c r="W63" s="168">
        <f t="shared" ca="1" si="27"/>
        <v>0</v>
      </c>
      <c r="X63" s="168">
        <f>IFERROR(IF(B63&lt;=Age+B,IF(B63&lt;=Begin_Age,(SUM(U63:$U$124)+SUM(V63:$V$124)-SUM(W63:$W$124))/G63,0),""),"")</f>
        <v>0</v>
      </c>
      <c r="Y63" s="168">
        <f t="shared" si="28"/>
        <v>1</v>
      </c>
      <c r="Z63" s="168">
        <f t="shared" si="29"/>
        <v>0</v>
      </c>
    </row>
    <row r="64" spans="1:26" x14ac:dyDescent="0.4">
      <c r="A64" s="168">
        <f t="shared" si="16"/>
        <v>47</v>
      </c>
      <c r="B64" s="168">
        <f t="shared" si="30"/>
        <v>66</v>
      </c>
      <c r="C64" s="168">
        <f ca="1">IFERROR(MIN(VLOOKUP(B64,INDIRECT("mort_alb_"&amp;Cover!$J$4),IF(Sex="M",2,3))/1000,1)*Mort_Int,"")</f>
        <v>5.8760000000000001E-3</v>
      </c>
      <c r="D64" s="168">
        <f t="shared" ca="1" si="1"/>
        <v>5.5214179158899531E-3</v>
      </c>
      <c r="E64" s="168">
        <f t="shared" ca="1" si="17"/>
        <v>0.93965587404526085</v>
      </c>
      <c r="F64" s="168">
        <f t="shared" ca="1" si="18"/>
        <v>2.8924053766179818E-4</v>
      </c>
      <c r="G64" s="168">
        <f t="shared" ca="1" si="19"/>
        <v>5.1439135782263293E-2</v>
      </c>
      <c r="H64" s="168">
        <f>Prem!H64</f>
        <v>0</v>
      </c>
      <c r="I64" s="168">
        <f>Prem!I64</f>
        <v>1.19</v>
      </c>
      <c r="J64" s="168">
        <f>Prem!J64</f>
        <v>1.19</v>
      </c>
      <c r="K64" s="168">
        <f>Prem!K64</f>
        <v>0</v>
      </c>
      <c r="L64" s="168">
        <f>Prem!L64</f>
        <v>1190</v>
      </c>
      <c r="M64" s="168">
        <f>Prem!M64</f>
        <v>15470</v>
      </c>
      <c r="N64" s="168">
        <f ca="1">IFERROR(IF(B64&lt;=Age+B,MAX(MIN(A64,PPP)*$E$10,CV!Z65+L65)*K64,""),"")</f>
        <v>0</v>
      </c>
      <c r="O64" s="171" cm="1">
        <f t="array" ref="O64">IFERROR(IF(B64&lt;=Age+B,VLOOKUP(IF(PPP&lt;20,PPP,"20+"),Exp_load_CV,_xlfn.IFS(A64=1,1,A64=2,2,A64=3,3,AND(A64&gt;=4,A64&lt;=10),4,AND(A64&gt;=11,A64&lt;=PPP),5,A64&gt;PPP,6)+1,FALSE),""),"")</f>
        <v>0</v>
      </c>
      <c r="P64" s="168">
        <f t="shared" ca="1" si="20"/>
        <v>4.4745511176280175</v>
      </c>
      <c r="Q64" s="168">
        <f t="shared" ca="1" si="21"/>
        <v>61.212571580893318</v>
      </c>
      <c r="R64" s="168">
        <f t="shared" ca="1" si="22"/>
        <v>0</v>
      </c>
      <c r="S64" s="168">
        <f t="shared" ca="1" si="23"/>
        <v>0</v>
      </c>
      <c r="T64" s="168">
        <f t="shared" ca="1" si="24"/>
        <v>0</v>
      </c>
      <c r="U64" s="168">
        <f t="shared" ca="1" si="25"/>
        <v>4.4745511176280175</v>
      </c>
      <c r="V64" s="168">
        <f t="shared" ca="1" si="26"/>
        <v>61.212571580893318</v>
      </c>
      <c r="W64" s="168">
        <f t="shared" ca="1" si="27"/>
        <v>0</v>
      </c>
      <c r="X64" s="168">
        <f>IFERROR(IF(B64&lt;=Age+B,IF(B64&lt;=Begin_Age,(SUM(U64:$U$124)+SUM(V64:$V$124)-SUM(W64:$W$124))/G64,0),""),"")</f>
        <v>0</v>
      </c>
      <c r="Y64" s="168">
        <f t="shared" si="28"/>
        <v>1</v>
      </c>
      <c r="Z64" s="168">
        <f t="shared" si="29"/>
        <v>0</v>
      </c>
    </row>
    <row r="65" spans="1:26" x14ac:dyDescent="0.4">
      <c r="A65" s="168">
        <f t="shared" si="16"/>
        <v>48</v>
      </c>
      <c r="B65" s="168">
        <f t="shared" si="30"/>
        <v>67</v>
      </c>
      <c r="C65" s="168">
        <f ca="1">IFERROR(MIN(VLOOKUP(B65,INDIRECT("mort_alb_"&amp;Cover!$J$4),IF(Sex="M",2,3))/1000,1)*Mort_Int,"")</f>
        <v>6.3671999999999999E-3</v>
      </c>
      <c r="D65" s="168">
        <f t="shared" ca="1" si="1"/>
        <v>5.9478209090669297E-3</v>
      </c>
      <c r="E65" s="168">
        <f t="shared" ca="1" si="17"/>
        <v>0.93413445612937085</v>
      </c>
      <c r="F65" s="168">
        <f t="shared" ca="1" si="18"/>
        <v>2.9816051706290026E-4</v>
      </c>
      <c r="G65" s="168">
        <f t="shared" ca="1" si="19"/>
        <v>4.8934812842494457E-2</v>
      </c>
      <c r="H65" s="168">
        <f>Prem!H65</f>
        <v>0</v>
      </c>
      <c r="I65" s="168">
        <f>Prem!I65</f>
        <v>1.19</v>
      </c>
      <c r="J65" s="168">
        <f>Prem!J65</f>
        <v>1.19</v>
      </c>
      <c r="K65" s="168">
        <f>Prem!K65</f>
        <v>0</v>
      </c>
      <c r="L65" s="168">
        <f>Prem!L65</f>
        <v>1190</v>
      </c>
      <c r="M65" s="168">
        <f>Prem!M65</f>
        <v>14280</v>
      </c>
      <c r="N65" s="168">
        <f ca="1">IFERROR(IF(B65&lt;=Age+B,MAX(MIN(A65,PPP)*$E$10,CV!Z66+L66)*K65,""),"")</f>
        <v>0</v>
      </c>
      <c r="O65" s="171" cm="1">
        <f t="array" ref="O65">IFERROR(IF(B65&lt;=Age+B,VLOOKUP(IF(PPP&lt;20,PPP,"20+"),Exp_load_CV,_xlfn.IFS(A65=1,1,A65=2,2,A65=3,3,AND(A65&gt;=4,A65&lt;=10),4,AND(A65&gt;=11,A65&lt;=PPP),5,A65&gt;PPP,6)+1,FALSE),""),"")</f>
        <v>0</v>
      </c>
      <c r="P65" s="168">
        <f t="shared" ca="1" si="20"/>
        <v>4.2577321836582156</v>
      </c>
      <c r="Q65" s="168">
        <f t="shared" ca="1" si="21"/>
        <v>58.232427282568402</v>
      </c>
      <c r="R65" s="168">
        <f t="shared" ca="1" si="22"/>
        <v>0</v>
      </c>
      <c r="S65" s="168">
        <f t="shared" ca="1" si="23"/>
        <v>0</v>
      </c>
      <c r="T65" s="168">
        <f t="shared" ca="1" si="24"/>
        <v>0</v>
      </c>
      <c r="U65" s="168">
        <f t="shared" ca="1" si="25"/>
        <v>4.2577321836582156</v>
      </c>
      <c r="V65" s="168">
        <f t="shared" ca="1" si="26"/>
        <v>58.232427282568402</v>
      </c>
      <c r="W65" s="168">
        <f t="shared" ca="1" si="27"/>
        <v>0</v>
      </c>
      <c r="X65" s="168">
        <f>IFERROR(IF(B65&lt;=Age+B,IF(B65&lt;=Begin_Age,(SUM(U65:$U$124)+SUM(V65:$V$124)-SUM(W65:$W$124))/G65,0),""),"")</f>
        <v>0</v>
      </c>
      <c r="Y65" s="168">
        <f t="shared" si="28"/>
        <v>1</v>
      </c>
      <c r="Z65" s="168">
        <f t="shared" si="29"/>
        <v>0</v>
      </c>
    </row>
    <row r="66" spans="1:26" x14ac:dyDescent="0.4">
      <c r="A66" s="168">
        <f t="shared" si="16"/>
        <v>49</v>
      </c>
      <c r="B66" s="168">
        <f t="shared" si="30"/>
        <v>68</v>
      </c>
      <c r="C66" s="168">
        <f ca="1">IFERROR(MIN(VLOOKUP(B66,INDIRECT("mort_alb_"&amp;Cover!$J$4),IF(Sex="M",2,3))/1000,1)*Mort_Int,"")</f>
        <v>6.8816000000000007E-3</v>
      </c>
      <c r="D66" s="168">
        <f t="shared" ca="1" si="1"/>
        <v>6.3874091489320439E-3</v>
      </c>
      <c r="E66" s="168">
        <f t="shared" ca="1" si="17"/>
        <v>0.92818663522030387</v>
      </c>
      <c r="F66" s="168">
        <f t="shared" ca="1" si="18"/>
        <v>3.0640841984299808E-4</v>
      </c>
      <c r="G66" s="168">
        <f t="shared" ca="1" si="19"/>
        <v>4.6529411581017928E-2</v>
      </c>
      <c r="H66" s="168">
        <f>Prem!H66</f>
        <v>0</v>
      </c>
      <c r="I66" s="168">
        <f>Prem!I66</f>
        <v>1.19</v>
      </c>
      <c r="J66" s="168">
        <f>Prem!J66</f>
        <v>1.19</v>
      </c>
      <c r="K66" s="168">
        <f>Prem!K66</f>
        <v>0</v>
      </c>
      <c r="L66" s="168">
        <f>Prem!L66</f>
        <v>1190</v>
      </c>
      <c r="M66" s="168">
        <f>Prem!M66</f>
        <v>13090</v>
      </c>
      <c r="N66" s="168">
        <f ca="1">IFERROR(IF(B66&lt;=Age+B,MAX(MIN(A66,PPP)*$E$10,CV!Z67+L67)*K66,""),"")</f>
        <v>0</v>
      </c>
      <c r="O66" s="171" cm="1">
        <f t="array" ref="O66">IFERROR(IF(B66&lt;=Age+B,VLOOKUP(IF(PPP&lt;20,PPP,"20+"),Exp_load_CV,_xlfn.IFS(A66=1,1,A66=2,2,A66=3,3,AND(A66&gt;=4,A66&lt;=10),4,AND(A66&gt;=11,A66&lt;=PPP),5,A66&gt;PPP,6)+1,FALSE),""),"")</f>
        <v>0</v>
      </c>
      <c r="P66" s="168">
        <f t="shared" ca="1" si="20"/>
        <v>4.0108862157448453</v>
      </c>
      <c r="Q66" s="168">
        <f t="shared" ca="1" si="21"/>
        <v>55.369999781411337</v>
      </c>
      <c r="R66" s="168">
        <f t="shared" ca="1" si="22"/>
        <v>0</v>
      </c>
      <c r="S66" s="168">
        <f t="shared" ca="1" si="23"/>
        <v>0</v>
      </c>
      <c r="T66" s="168">
        <f t="shared" ca="1" si="24"/>
        <v>0</v>
      </c>
      <c r="U66" s="168">
        <f t="shared" ca="1" si="25"/>
        <v>4.0108862157448453</v>
      </c>
      <c r="V66" s="168">
        <f t="shared" ca="1" si="26"/>
        <v>55.369999781411337</v>
      </c>
      <c r="W66" s="168">
        <f t="shared" ca="1" si="27"/>
        <v>0</v>
      </c>
      <c r="X66" s="168">
        <f>IFERROR(IF(B66&lt;=Age+B,IF(B66&lt;=Begin_Age,(SUM(U66:$U$124)+SUM(V66:$V$124)-SUM(W66:$W$124))/G66,0),""),"")</f>
        <v>0</v>
      </c>
      <c r="Y66" s="168">
        <f t="shared" si="28"/>
        <v>1</v>
      </c>
      <c r="Z66" s="168">
        <f t="shared" si="29"/>
        <v>0</v>
      </c>
    </row>
    <row r="67" spans="1:26" x14ac:dyDescent="0.4">
      <c r="A67" s="168">
        <f t="shared" si="16"/>
        <v>50</v>
      </c>
      <c r="B67" s="168">
        <f t="shared" si="30"/>
        <v>69</v>
      </c>
      <c r="C67" s="168">
        <f ca="1">IFERROR(MIN(VLOOKUP(B67,INDIRECT("mort_alb_"&amp;Cover!$J$4),IF(Sex="M",2,3))/1000,1)*Mort_Int,"")</f>
        <v>7.4343999999999999E-3</v>
      </c>
      <c r="D67" s="168">
        <f t="shared" ca="1" si="1"/>
        <v>6.8530241663050072E-3</v>
      </c>
      <c r="E67" s="168">
        <f t="shared" ca="1" si="17"/>
        <v>0.92179922607137188</v>
      </c>
      <c r="F67" s="168">
        <f t="shared" ca="1" si="18"/>
        <v>3.1458784036757161E-4</v>
      </c>
      <c r="G67" s="168">
        <f t="shared" ca="1" si="19"/>
        <v>4.4219344289265071E-2</v>
      </c>
      <c r="H67" s="168">
        <f>Prem!H67</f>
        <v>0</v>
      </c>
      <c r="I67" s="168">
        <f>Prem!I67</f>
        <v>1.19</v>
      </c>
      <c r="J67" s="168">
        <f>Prem!J67</f>
        <v>1.19</v>
      </c>
      <c r="K67" s="168">
        <f>Prem!K67</f>
        <v>0</v>
      </c>
      <c r="L67" s="168">
        <f>Prem!L67</f>
        <v>1190</v>
      </c>
      <c r="M67" s="168">
        <f>Prem!M67</f>
        <v>11900</v>
      </c>
      <c r="N67" s="168">
        <f ca="1">IFERROR(IF(B67&lt;=Age+B,MAX(MIN(A67,PPP)*$E$10,CV!Z68+L68)*K67,""),"")</f>
        <v>0</v>
      </c>
      <c r="O67" s="171" cm="1">
        <f t="array" ref="O67">IFERROR(IF(B67&lt;=Age+B,VLOOKUP(IF(PPP&lt;20,PPP,"20+"),Exp_load_CV,_xlfn.IFS(A67=1,1,A67=2,2,A67=3,3,AND(A67&gt;=4,A67&lt;=10),4,AND(A67&gt;=11,A67&lt;=PPP),5,A67&gt;PPP,6)+1,FALSE),""),"")</f>
        <v>0</v>
      </c>
      <c r="P67" s="168">
        <f t="shared" ca="1" si="20"/>
        <v>3.743595300374102</v>
      </c>
      <c r="Q67" s="168">
        <f t="shared" ca="1" si="21"/>
        <v>52.621019704225432</v>
      </c>
      <c r="R67" s="168">
        <f t="shared" ca="1" si="22"/>
        <v>0</v>
      </c>
      <c r="S67" s="168">
        <f t="shared" ca="1" si="23"/>
        <v>0</v>
      </c>
      <c r="T67" s="168">
        <f t="shared" ca="1" si="24"/>
        <v>0</v>
      </c>
      <c r="U67" s="168">
        <f t="shared" ca="1" si="25"/>
        <v>3.743595300374102</v>
      </c>
      <c r="V67" s="168">
        <f t="shared" ca="1" si="26"/>
        <v>52.621019704225432</v>
      </c>
      <c r="W67" s="168">
        <f t="shared" ca="1" si="27"/>
        <v>0</v>
      </c>
      <c r="X67" s="168">
        <f>IFERROR(IF(B67&lt;=Age+B,IF(B67&lt;=Begin_Age,(SUM(U67:$U$124)+SUM(V67:$V$124)-SUM(W67:$W$124))/G67,0),""),"")</f>
        <v>0</v>
      </c>
      <c r="Y67" s="168">
        <f t="shared" si="28"/>
        <v>1</v>
      </c>
      <c r="Z67" s="168">
        <f t="shared" si="29"/>
        <v>0</v>
      </c>
    </row>
    <row r="68" spans="1:26" x14ac:dyDescent="0.4">
      <c r="A68" s="168">
        <f t="shared" si="16"/>
        <v>51</v>
      </c>
      <c r="B68" s="168">
        <f t="shared" si="30"/>
        <v>70</v>
      </c>
      <c r="C68" s="168">
        <f ca="1">IFERROR(MIN(VLOOKUP(B68,INDIRECT("mort_alb_"&amp;Cover!$J$4),IF(Sex="M",2,3))/1000,1)*Mort_Int,"")</f>
        <v>8.0480000000000013E-3</v>
      </c>
      <c r="D68" s="168">
        <f t="shared" ca="1" si="1"/>
        <v>7.3634870329319802E-3</v>
      </c>
      <c r="E68" s="168">
        <f t="shared" ca="1" si="17"/>
        <v>0.91494620190506692</v>
      </c>
      <c r="F68" s="168">
        <f t="shared" ca="1" si="18"/>
        <v>3.2346470892924591E-4</v>
      </c>
      <c r="G68" s="168">
        <f t="shared" ca="1" si="19"/>
        <v>4.200057415892916E-2</v>
      </c>
      <c r="H68" s="168">
        <f>Prem!H68</f>
        <v>0</v>
      </c>
      <c r="I68" s="168">
        <f>Prem!I68</f>
        <v>1.19</v>
      </c>
      <c r="J68" s="168">
        <f>Prem!J68</f>
        <v>1.19</v>
      </c>
      <c r="K68" s="168">
        <f>Prem!K68</f>
        <v>0</v>
      </c>
      <c r="L68" s="168">
        <f>Prem!L68</f>
        <v>1190</v>
      </c>
      <c r="M68" s="168">
        <f>Prem!M68</f>
        <v>10710</v>
      </c>
      <c r="N68" s="168">
        <f ca="1">IFERROR(IF(B68&lt;=Age+B,MAX(MIN(A68,PPP)*$E$10,CV!Z69+L69)*K68,""),"")</f>
        <v>0</v>
      </c>
      <c r="O68" s="171" cm="1">
        <f t="array" ref="O68">IFERROR(IF(B68&lt;=Age+B,VLOOKUP(IF(PPP&lt;20,PPP,"20+"),Exp_load_CV,_xlfn.IFS(A68=1,1,A68=2,2,A68=3,3,AND(A68&gt;=4,A68&lt;=10),4,AND(A68&gt;=11,A68&lt;=PPP),5,A68&gt;PPP,6)+1,FALSE),""),"")</f>
        <v>0</v>
      </c>
      <c r="P68" s="168">
        <f t="shared" ca="1" si="20"/>
        <v>3.4643070326322238</v>
      </c>
      <c r="Q68" s="168">
        <f t="shared" ca="1" si="21"/>
        <v>49.980683249125704</v>
      </c>
      <c r="R68" s="168">
        <f t="shared" ca="1" si="22"/>
        <v>0</v>
      </c>
      <c r="S68" s="168">
        <f t="shared" ca="1" si="23"/>
        <v>0</v>
      </c>
      <c r="T68" s="168">
        <f t="shared" ca="1" si="24"/>
        <v>0</v>
      </c>
      <c r="U68" s="168">
        <f t="shared" ca="1" si="25"/>
        <v>3.4643070326322238</v>
      </c>
      <c r="V68" s="168">
        <f t="shared" ca="1" si="26"/>
        <v>49.980683249125704</v>
      </c>
      <c r="W68" s="168">
        <f t="shared" ca="1" si="27"/>
        <v>0</v>
      </c>
      <c r="X68" s="168">
        <f>IFERROR(IF(B68&lt;=Age+B,IF(B68&lt;=Begin_Age,(SUM(U68:$U$124)+SUM(V68:$V$124)-SUM(W68:$W$124))/G68,0),""),"")</f>
        <v>0</v>
      </c>
      <c r="Y68" s="168">
        <f t="shared" si="28"/>
        <v>1</v>
      </c>
      <c r="Z68" s="168">
        <f t="shared" si="29"/>
        <v>0</v>
      </c>
    </row>
    <row r="69" spans="1:26" x14ac:dyDescent="0.4">
      <c r="A69" s="168">
        <f t="shared" si="16"/>
        <v>52</v>
      </c>
      <c r="B69" s="168">
        <f t="shared" si="30"/>
        <v>71</v>
      </c>
      <c r="C69" s="168">
        <f ca="1">IFERROR(MIN(VLOOKUP(B69,INDIRECT("mort_alb_"&amp;Cover!$J$4),IF(Sex="M",2,3))/1000,1)*Mort_Int,"")</f>
        <v>8.7528000000000016E-3</v>
      </c>
      <c r="D69" s="168">
        <f t="shared" ca="1" si="1"/>
        <v>7.9438899867328248E-3</v>
      </c>
      <c r="E69" s="168">
        <f t="shared" ca="1" si="17"/>
        <v>0.90758271487213493</v>
      </c>
      <c r="F69" s="168">
        <f t="shared" ca="1" si="18"/>
        <v>3.3393374566357474E-4</v>
      </c>
      <c r="G69" s="168">
        <f t="shared" ca="1" si="19"/>
        <v>3.9868472285261337E-2</v>
      </c>
      <c r="H69" s="168">
        <f>Prem!H69</f>
        <v>0</v>
      </c>
      <c r="I69" s="168">
        <f>Prem!I69</f>
        <v>1.19</v>
      </c>
      <c r="J69" s="168">
        <f>Prem!J69</f>
        <v>1.19</v>
      </c>
      <c r="K69" s="168">
        <f>Prem!K69</f>
        <v>0</v>
      </c>
      <c r="L69" s="168">
        <f>Prem!L69</f>
        <v>1190</v>
      </c>
      <c r="M69" s="168">
        <f>Prem!M69</f>
        <v>9520</v>
      </c>
      <c r="N69" s="168">
        <f ca="1">IFERROR(IF(B69&lt;=Age+B,MAX(MIN(A69,PPP)*$E$10,CV!Z70+L70)*K69,""),"")</f>
        <v>0</v>
      </c>
      <c r="O69" s="171" cm="1">
        <f t="array" ref="O69">IFERROR(IF(B69&lt;=Age+B,VLOOKUP(IF(PPP&lt;20,PPP,"20+"),Exp_load_CV,_xlfn.IFS(A69=1,1,A69=2,2,A69=3,3,AND(A69&gt;=4,A69&lt;=10),4,AND(A69&gt;=11,A69&lt;=PPP),5,A69&gt;PPP,6)+1,FALSE),""),"")</f>
        <v>0</v>
      </c>
      <c r="P69" s="168">
        <f t="shared" ca="1" si="20"/>
        <v>3.1790492587172317</v>
      </c>
      <c r="Q69" s="168">
        <f t="shared" ca="1" si="21"/>
        <v>47.443482019460994</v>
      </c>
      <c r="R69" s="168">
        <f t="shared" ca="1" si="22"/>
        <v>0</v>
      </c>
      <c r="S69" s="168">
        <f t="shared" ca="1" si="23"/>
        <v>0</v>
      </c>
      <c r="T69" s="168">
        <f t="shared" ca="1" si="24"/>
        <v>0</v>
      </c>
      <c r="U69" s="168">
        <f t="shared" ca="1" si="25"/>
        <v>3.1790492587172317</v>
      </c>
      <c r="V69" s="168">
        <f t="shared" ca="1" si="26"/>
        <v>47.443482019460994</v>
      </c>
      <c r="W69" s="168">
        <f t="shared" ca="1" si="27"/>
        <v>0</v>
      </c>
      <c r="X69" s="168">
        <f>IFERROR(IF(B69&lt;=Age+B,IF(B69&lt;=Begin_Age,(SUM(U69:$U$124)+SUM(V69:$V$124)-SUM(W69:$W$124))/G69,0),""),"")</f>
        <v>0</v>
      </c>
      <c r="Y69" s="168">
        <f t="shared" si="28"/>
        <v>1</v>
      </c>
      <c r="Z69" s="168">
        <f t="shared" si="29"/>
        <v>0</v>
      </c>
    </row>
    <row r="70" spans="1:26" x14ac:dyDescent="0.4">
      <c r="A70" s="168">
        <f t="shared" si="16"/>
        <v>53</v>
      </c>
      <c r="B70" s="168">
        <f t="shared" si="30"/>
        <v>72</v>
      </c>
      <c r="C70" s="168">
        <f ca="1">IFERROR(MIN(VLOOKUP(B70,INDIRECT("mort_alb_"&amp;Cover!$J$4),IF(Sex="M",2,3))/1000,1)*Mort_Int,"")</f>
        <v>9.5872000000000006E-3</v>
      </c>
      <c r="D70" s="168">
        <f t="shared" ca="1" si="1"/>
        <v>8.6250173419413281E-3</v>
      </c>
      <c r="E70" s="168">
        <f t="shared" ca="1" si="17"/>
        <v>0.89963882488540214</v>
      </c>
      <c r="F70" s="168">
        <f t="shared" ca="1" si="18"/>
        <v>3.4695310167307772E-4</v>
      </c>
      <c r="G70" s="168">
        <f t="shared" ca="1" si="19"/>
        <v>3.7817714374203747E-2</v>
      </c>
      <c r="H70" s="168">
        <f>Prem!H70</f>
        <v>0</v>
      </c>
      <c r="I70" s="168">
        <f>Prem!I70</f>
        <v>1.19</v>
      </c>
      <c r="J70" s="168">
        <f>Prem!J70</f>
        <v>1.19</v>
      </c>
      <c r="K70" s="168">
        <f>Prem!K70</f>
        <v>0</v>
      </c>
      <c r="L70" s="168">
        <f>Prem!L70</f>
        <v>1190</v>
      </c>
      <c r="M70" s="168">
        <f>Prem!M70</f>
        <v>8330</v>
      </c>
      <c r="N70" s="168">
        <f ca="1">IFERROR(IF(B70&lt;=Age+B,MAX(MIN(A70,PPP)*$E$10,CV!Z71+L71)*K70,""),"")</f>
        <v>0</v>
      </c>
      <c r="O70" s="171" cm="1">
        <f t="array" ref="O70">IFERROR(IF(B70&lt;=Age+B,VLOOKUP(IF(PPP&lt;20,PPP,"20+"),Exp_load_CV,_xlfn.IFS(A70=1,1,A70=2,2,A70=3,3,AND(A70&gt;=4,A70&lt;=10),4,AND(A70&gt;=11,A70&lt;=PPP),5,A70&gt;PPP,6)+1,FALSE),""),"")</f>
        <v>0</v>
      </c>
      <c r="P70" s="168">
        <f t="shared" ca="1" si="20"/>
        <v>2.8901193369367375</v>
      </c>
      <c r="Q70" s="168">
        <f t="shared" ca="1" si="21"/>
        <v>45.003080105302459</v>
      </c>
      <c r="R70" s="168">
        <f t="shared" ca="1" si="22"/>
        <v>0</v>
      </c>
      <c r="S70" s="168">
        <f t="shared" ca="1" si="23"/>
        <v>0</v>
      </c>
      <c r="T70" s="168">
        <f t="shared" ca="1" si="24"/>
        <v>0</v>
      </c>
      <c r="U70" s="168">
        <f t="shared" ca="1" si="25"/>
        <v>2.8901193369367375</v>
      </c>
      <c r="V70" s="168">
        <f t="shared" ca="1" si="26"/>
        <v>45.003080105302459</v>
      </c>
      <c r="W70" s="168">
        <f t="shared" ca="1" si="27"/>
        <v>0</v>
      </c>
      <c r="X70" s="168">
        <f>IFERROR(IF(B70&lt;=Age+B,IF(B70&lt;=Begin_Age,(SUM(U70:$U$124)+SUM(V70:$V$124)-SUM(W70:$W$124))/G70,0),""),"")</f>
        <v>0</v>
      </c>
      <c r="Y70" s="168">
        <f t="shared" si="28"/>
        <v>1</v>
      </c>
      <c r="Z70" s="168">
        <f t="shared" si="29"/>
        <v>0</v>
      </c>
    </row>
    <row r="71" spans="1:26" x14ac:dyDescent="0.4">
      <c r="A71" s="168">
        <f t="shared" si="16"/>
        <v>54</v>
      </c>
      <c r="B71" s="168">
        <f t="shared" si="30"/>
        <v>73</v>
      </c>
      <c r="C71" s="168">
        <f ca="1">IFERROR(MIN(VLOOKUP(B71,INDIRECT("mort_alb_"&amp;Cover!$J$4),IF(Sex="M",2,3))/1000,1)*Mort_Int,"")</f>
        <v>1.05944E-2</v>
      </c>
      <c r="D71" s="168">
        <f t="shared" ca="1" si="1"/>
        <v>9.4397566826384411E-3</v>
      </c>
      <c r="E71" s="168">
        <f t="shared" ca="1" si="17"/>
        <v>0.89101380754346082</v>
      </c>
      <c r="F71" s="168">
        <f t="shared" ca="1" si="18"/>
        <v>3.6337521945778027E-4</v>
      </c>
      <c r="G71" s="168">
        <f t="shared" ca="1" si="19"/>
        <v>3.5842247256416632E-2</v>
      </c>
      <c r="H71" s="168">
        <f>Prem!H71</f>
        <v>0</v>
      </c>
      <c r="I71" s="168">
        <f>Prem!I71</f>
        <v>1.19</v>
      </c>
      <c r="J71" s="168">
        <f>Prem!J71</f>
        <v>1.19</v>
      </c>
      <c r="K71" s="168">
        <f>Prem!K71</f>
        <v>0</v>
      </c>
      <c r="L71" s="168">
        <f>Prem!L71</f>
        <v>1190</v>
      </c>
      <c r="M71" s="168">
        <f>Prem!M71</f>
        <v>7140</v>
      </c>
      <c r="N71" s="168">
        <f ca="1">IFERROR(IF(B71&lt;=Age+B,MAX(MIN(A71,PPP)*$E$10,CV!Z72+L72)*K71,""),"")</f>
        <v>0</v>
      </c>
      <c r="O71" s="171" cm="1">
        <f t="array" ref="O71">IFERROR(IF(B71&lt;=Age+B,VLOOKUP(IF(PPP&lt;20,PPP,"20+"),Exp_load_CV,_xlfn.IFS(A71=1,1,A71=2,2,A71=3,3,AND(A71&gt;=4,A71&lt;=10),4,AND(A71&gt;=11,A71&lt;=PPP),5,A71&gt;PPP,6)+1,FALSE),""),"")</f>
        <v>0</v>
      </c>
      <c r="P71" s="168">
        <f t="shared" ca="1" si="20"/>
        <v>2.594499066928551</v>
      </c>
      <c r="Q71" s="168">
        <f t="shared" ca="1" si="21"/>
        <v>42.652274235135792</v>
      </c>
      <c r="R71" s="168">
        <f t="shared" ca="1" si="22"/>
        <v>0</v>
      </c>
      <c r="S71" s="168">
        <f t="shared" ca="1" si="23"/>
        <v>0</v>
      </c>
      <c r="T71" s="168">
        <f t="shared" ca="1" si="24"/>
        <v>0</v>
      </c>
      <c r="U71" s="168">
        <f t="shared" ca="1" si="25"/>
        <v>2.594499066928551</v>
      </c>
      <c r="V71" s="168">
        <f t="shared" ca="1" si="26"/>
        <v>42.652274235135792</v>
      </c>
      <c r="W71" s="168">
        <f t="shared" ca="1" si="27"/>
        <v>0</v>
      </c>
      <c r="X71" s="168">
        <f>IFERROR(IF(B71&lt;=Age+B,IF(B71&lt;=Begin_Age,(SUM(U71:$U$124)+SUM(V71:$V$124)-SUM(W71:$W$124))/G71,0),""),"")</f>
        <v>0</v>
      </c>
      <c r="Y71" s="168">
        <f t="shared" si="28"/>
        <v>1</v>
      </c>
      <c r="Z71" s="168">
        <f t="shared" si="29"/>
        <v>0</v>
      </c>
    </row>
    <row r="72" spans="1:26" x14ac:dyDescent="0.4">
      <c r="A72" s="168">
        <f t="shared" si="16"/>
        <v>55</v>
      </c>
      <c r="B72" s="168">
        <f t="shared" si="30"/>
        <v>74</v>
      </c>
      <c r="C72" s="168">
        <f ca="1">IFERROR(MIN(VLOOKUP(B72,INDIRECT("mort_alb_"&amp;Cover!$J$4),IF(Sex="M",2,3))/1000,1)*Mort_Int,"")</f>
        <v>1.18184E-2</v>
      </c>
      <c r="D72" s="168">
        <f t="shared" ca="1" si="1"/>
        <v>1.0418794762693544E-2</v>
      </c>
      <c r="E72" s="168">
        <f t="shared" ca="1" si="17"/>
        <v>0.88157405086082241</v>
      </c>
      <c r="F72" s="168">
        <f t="shared" ca="1" si="18"/>
        <v>3.8379180711557042E-4</v>
      </c>
      <c r="G72" s="168">
        <f t="shared" ca="1" si="19"/>
        <v>3.3935425982854789E-2</v>
      </c>
      <c r="H72" s="168">
        <f>Prem!H72</f>
        <v>0</v>
      </c>
      <c r="I72" s="168">
        <f>Prem!I72</f>
        <v>1.19</v>
      </c>
      <c r="J72" s="168">
        <f>Prem!J72</f>
        <v>1.19</v>
      </c>
      <c r="K72" s="168">
        <f>Prem!K72</f>
        <v>0</v>
      </c>
      <c r="L72" s="168">
        <f>Prem!L72</f>
        <v>1190</v>
      </c>
      <c r="M72" s="168">
        <f>Prem!M72</f>
        <v>5950</v>
      </c>
      <c r="N72" s="168">
        <f ca="1">IFERROR(IF(B72&lt;=Age+B,MAX(MIN(A72,PPP)*$E$10,CV!Z73+L73)*K72,""),"")</f>
        <v>0</v>
      </c>
      <c r="O72" s="171" cm="1">
        <f t="array" ref="O72">IFERROR(IF(B72&lt;=Age+B,VLOOKUP(IF(PPP&lt;20,PPP,"20+"),Exp_load_CV,_xlfn.IFS(A72=1,1,A72=2,2,A72=3,3,AND(A72&gt;=4,A72&lt;=10),4,AND(A72&gt;=11,A72&lt;=PPP),5,A72&gt;PPP,6)+1,FALSE),""),"")</f>
        <v>0</v>
      </c>
      <c r="P72" s="168">
        <f t="shared" ca="1" si="20"/>
        <v>2.2835612523376438</v>
      </c>
      <c r="Q72" s="168">
        <f t="shared" ca="1" si="21"/>
        <v>40.383156919597198</v>
      </c>
      <c r="R72" s="168">
        <f t="shared" ca="1" si="22"/>
        <v>0</v>
      </c>
      <c r="S72" s="168">
        <f t="shared" ca="1" si="23"/>
        <v>0</v>
      </c>
      <c r="T72" s="168">
        <f t="shared" ca="1" si="24"/>
        <v>0</v>
      </c>
      <c r="U72" s="168">
        <f t="shared" ca="1" si="25"/>
        <v>2.2835612523376438</v>
      </c>
      <c r="V72" s="168">
        <f t="shared" ca="1" si="26"/>
        <v>40.383156919597198</v>
      </c>
      <c r="W72" s="168">
        <f t="shared" ca="1" si="27"/>
        <v>0</v>
      </c>
      <c r="X72" s="168">
        <f>IFERROR(IF(B72&lt;=Age+B,IF(B72&lt;=Begin_Age,(SUM(U72:$U$124)+SUM(V72:$V$124)-SUM(W72:$W$124))/G72,0),""),"")</f>
        <v>0</v>
      </c>
      <c r="Y72" s="168">
        <f t="shared" si="28"/>
        <v>1</v>
      </c>
      <c r="Z72" s="168">
        <f t="shared" si="29"/>
        <v>0</v>
      </c>
    </row>
    <row r="73" spans="1:26" x14ac:dyDescent="0.4">
      <c r="A73" s="168">
        <f t="shared" si="16"/>
        <v>56</v>
      </c>
      <c r="B73" s="168">
        <f t="shared" si="30"/>
        <v>75</v>
      </c>
      <c r="C73" s="168">
        <f ca="1">IFERROR(MIN(VLOOKUP(B73,INDIRECT("mort_alb_"&amp;Cover!$J$4),IF(Sex="M",2,3))/1000,1)*Mort_Int,"")</f>
        <v>1.33048E-2</v>
      </c>
      <c r="D73" s="168">
        <f t="shared" ca="1" si="1"/>
        <v>1.1590546451334385E-2</v>
      </c>
      <c r="E73" s="168">
        <f t="shared" ca="1" si="17"/>
        <v>0.87115525609812883</v>
      </c>
      <c r="F73" s="168">
        <f t="shared" ca="1" si="18"/>
        <v>4.0856940096223646E-4</v>
      </c>
      <c r="G73" s="168">
        <f t="shared" ca="1" si="19"/>
        <v>3.2090300042506237E-2</v>
      </c>
      <c r="H73" s="168">
        <f>Prem!H73</f>
        <v>0</v>
      </c>
      <c r="I73" s="168">
        <f>Prem!I73</f>
        <v>1.19</v>
      </c>
      <c r="J73" s="168">
        <f>Prem!J73</f>
        <v>1.19</v>
      </c>
      <c r="K73" s="168">
        <f>Prem!K73</f>
        <v>0</v>
      </c>
      <c r="L73" s="168">
        <f>Prem!L73</f>
        <v>1190</v>
      </c>
      <c r="M73" s="168">
        <f>Prem!M73</f>
        <v>4760</v>
      </c>
      <c r="N73" s="168">
        <f ca="1">IFERROR(IF(B73&lt;=Age+B,MAX(MIN(A73,PPP)*$E$10,CV!Z74+L74)*K73,""),"")</f>
        <v>0</v>
      </c>
      <c r="O73" s="171" cm="1">
        <f t="array" ref="O73">IFERROR(IF(B73&lt;=Age+B,VLOOKUP(IF(PPP&lt;20,PPP,"20+"),Exp_load_CV,_xlfn.IFS(A73=1,1,A73=2,2,A73=3,3,AND(A73&gt;=4,A73&lt;=10),4,AND(A73&gt;=11,A73&lt;=PPP),5,A73&gt;PPP,6)+1,FALSE),""),"")</f>
        <v>0</v>
      </c>
      <c r="P73" s="168">
        <f t="shared" ca="1" si="20"/>
        <v>1.9447903485802456</v>
      </c>
      <c r="Q73" s="168">
        <f t="shared" ca="1" si="21"/>
        <v>38.187457050582424</v>
      </c>
      <c r="R73" s="168">
        <f t="shared" ca="1" si="22"/>
        <v>0</v>
      </c>
      <c r="S73" s="168">
        <f t="shared" ca="1" si="23"/>
        <v>0</v>
      </c>
      <c r="T73" s="168">
        <f t="shared" ca="1" si="24"/>
        <v>0</v>
      </c>
      <c r="U73" s="168">
        <f t="shared" ca="1" si="25"/>
        <v>1.9447903485802456</v>
      </c>
      <c r="V73" s="168">
        <f t="shared" ca="1" si="26"/>
        <v>38.187457050582424</v>
      </c>
      <c r="W73" s="168">
        <f t="shared" ca="1" si="27"/>
        <v>0</v>
      </c>
      <c r="X73" s="168">
        <f>IFERROR(IF(B73&lt;=Age+B,IF(B73&lt;=Begin_Age,(SUM(U73:$U$124)+SUM(V73:$V$124)-SUM(W73:$W$124))/G73,0),""),"")</f>
        <v>0</v>
      </c>
      <c r="Y73" s="168">
        <f t="shared" si="28"/>
        <v>1</v>
      </c>
      <c r="Z73" s="168">
        <f t="shared" si="29"/>
        <v>0</v>
      </c>
    </row>
    <row r="74" spans="1:26" x14ac:dyDescent="0.4">
      <c r="A74" s="168">
        <f t="shared" si="16"/>
        <v>57</v>
      </c>
      <c r="B74" s="168">
        <f t="shared" si="30"/>
        <v>76</v>
      </c>
      <c r="C74" s="168">
        <f ca="1">IFERROR(MIN(VLOOKUP(B74,INDIRECT("mort_alb_"&amp;Cover!$J$4),IF(Sex="M",2,3))/1000,1)*Mort_Int,"")</f>
        <v>1.5096000000000002E-2</v>
      </c>
      <c r="D74" s="168">
        <f t="shared" ca="1" si="1"/>
        <v>1.297598885682801E-2</v>
      </c>
      <c r="E74" s="168">
        <f t="shared" ca="1" si="17"/>
        <v>0.85956470964679443</v>
      </c>
      <c r="F74" s="168">
        <f t="shared" ca="1" si="18"/>
        <v>4.3770962789248117E-4</v>
      </c>
      <c r="G74" s="168">
        <f t="shared" ca="1" si="19"/>
        <v>3.0299851692345177E-2</v>
      </c>
      <c r="H74" s="168">
        <f>Prem!H74</f>
        <v>0</v>
      </c>
      <c r="I74" s="168">
        <f>Prem!I74</f>
        <v>1.19</v>
      </c>
      <c r="J74" s="168">
        <f>Prem!J74</f>
        <v>1.19</v>
      </c>
      <c r="K74" s="168">
        <f>Prem!K74</f>
        <v>0</v>
      </c>
      <c r="L74" s="168">
        <f>Prem!L74</f>
        <v>1190</v>
      </c>
      <c r="M74" s="168">
        <f>Prem!M74</f>
        <v>3570</v>
      </c>
      <c r="N74" s="168">
        <f ca="1">IFERROR(IF(B74&lt;=Age+B,MAX(MIN(A74,PPP)*$E$10,CV!Z75+L75)*K74,""),"")</f>
        <v>0</v>
      </c>
      <c r="O74" s="171" cm="1">
        <f t="array" ref="O74">IFERROR(IF(B74&lt;=Age+B,VLOOKUP(IF(PPP&lt;20,PPP,"20+"),Exp_load_CV,_xlfn.IFS(A74=1,1,A74=2,2,A74=3,3,AND(A74&gt;=4,A74&lt;=10),4,AND(A74&gt;=11,A74&lt;=PPP),5,A74&gt;PPP,6)+1,FALSE),""),"")</f>
        <v>0</v>
      </c>
      <c r="P74" s="168">
        <f t="shared" ca="1" si="20"/>
        <v>1.5626233715761577</v>
      </c>
      <c r="Q74" s="168">
        <f t="shared" ca="1" si="21"/>
        <v>36.056823513890762</v>
      </c>
      <c r="R74" s="168">
        <f t="shared" ca="1" si="22"/>
        <v>0</v>
      </c>
      <c r="S74" s="168">
        <f t="shared" ca="1" si="23"/>
        <v>0</v>
      </c>
      <c r="T74" s="168">
        <f t="shared" ca="1" si="24"/>
        <v>0</v>
      </c>
      <c r="U74" s="168">
        <f t="shared" ca="1" si="25"/>
        <v>1.5626233715761577</v>
      </c>
      <c r="V74" s="168">
        <f t="shared" ca="1" si="26"/>
        <v>36.056823513890762</v>
      </c>
      <c r="W74" s="168">
        <f t="shared" ca="1" si="27"/>
        <v>0</v>
      </c>
      <c r="X74" s="168">
        <f>IFERROR(IF(B74&lt;=Age+B,IF(B74&lt;=Begin_Age,(SUM(U74:$U$124)+SUM(V74:$V$124)-SUM(W74:$W$124))/G74,0),""),"")</f>
        <v>0</v>
      </c>
      <c r="Y74" s="168">
        <f t="shared" si="28"/>
        <v>1</v>
      </c>
      <c r="Z74" s="168">
        <f t="shared" si="29"/>
        <v>0</v>
      </c>
    </row>
    <row r="75" spans="1:26" x14ac:dyDescent="0.4">
      <c r="A75" s="168">
        <f t="shared" si="16"/>
        <v>58</v>
      </c>
      <c r="B75" s="168">
        <f t="shared" si="30"/>
        <v>77</v>
      </c>
      <c r="C75" s="168">
        <f ca="1">IFERROR(MIN(VLOOKUP(B75,INDIRECT("mort_alb_"&amp;Cover!$J$4),IF(Sex="M",2,3))/1000,1)*Mort_Int,"")</f>
        <v>1.7231200000000002E-2</v>
      </c>
      <c r="D75" s="168">
        <f t="shared" ca="1" si="1"/>
        <v>1.4587739565676071E-2</v>
      </c>
      <c r="E75" s="168">
        <f t="shared" ca="1" si="17"/>
        <v>0.84658872078996639</v>
      </c>
      <c r="F75" s="168">
        <f t="shared" ca="1" si="18"/>
        <v>4.7088769995621996E-4</v>
      </c>
      <c r="G75" s="168">
        <f t="shared" ca="1" si="19"/>
        <v>2.8557363761911512E-2</v>
      </c>
      <c r="H75" s="168">
        <f>Prem!H75</f>
        <v>0</v>
      </c>
      <c r="I75" s="168">
        <f>Prem!I75</f>
        <v>1.19</v>
      </c>
      <c r="J75" s="168">
        <f>Prem!J75</f>
        <v>1.19</v>
      </c>
      <c r="K75" s="168">
        <f>Prem!K75</f>
        <v>0</v>
      </c>
      <c r="L75" s="168">
        <f>Prem!L75</f>
        <v>1190</v>
      </c>
      <c r="M75" s="168">
        <f>Prem!M75</f>
        <v>2380</v>
      </c>
      <c r="N75" s="168">
        <f ca="1">IFERROR(IF(B75&lt;=Age+B,MAX(MIN(A75,PPP)*$E$10,CV!Z76+L76)*K75,""),"")</f>
        <v>0</v>
      </c>
      <c r="O75" s="171" cm="1">
        <f t="array" ref="O75">IFERROR(IF(B75&lt;=Age+B,VLOOKUP(IF(PPP&lt;20,PPP,"20+"),Exp_load_CV,_xlfn.IFS(A75=1,1,A75=2,2,A75=3,3,AND(A75&gt;=4,A75&lt;=10),4,AND(A75&gt;=11,A75&lt;=PPP),5,A75&gt;PPP,6)+1,FALSE),""),"")</f>
        <v>0</v>
      </c>
      <c r="P75" s="168">
        <f t="shared" ca="1" si="20"/>
        <v>1.1207127258958034</v>
      </c>
      <c r="Q75" s="168">
        <f t="shared" ca="1" si="21"/>
        <v>33.983262876674701</v>
      </c>
      <c r="R75" s="168">
        <f t="shared" ca="1" si="22"/>
        <v>0</v>
      </c>
      <c r="S75" s="168">
        <f t="shared" ca="1" si="23"/>
        <v>0</v>
      </c>
      <c r="T75" s="168">
        <f t="shared" ca="1" si="24"/>
        <v>0</v>
      </c>
      <c r="U75" s="168">
        <f t="shared" ca="1" si="25"/>
        <v>1.1207127258958034</v>
      </c>
      <c r="V75" s="168">
        <f t="shared" ca="1" si="26"/>
        <v>33.983262876674701</v>
      </c>
      <c r="W75" s="168">
        <f t="shared" ca="1" si="27"/>
        <v>0</v>
      </c>
      <c r="X75" s="168">
        <f>IFERROR(IF(B75&lt;=Age+B,IF(B75&lt;=Begin_Age,(SUM(U75:$U$124)+SUM(V75:$V$124)-SUM(W75:$W$124))/G75,0),""),"")</f>
        <v>0</v>
      </c>
      <c r="Y75" s="168">
        <f t="shared" si="28"/>
        <v>1</v>
      </c>
      <c r="Z75" s="168">
        <f t="shared" si="29"/>
        <v>0</v>
      </c>
    </row>
    <row r="76" spans="1:26" x14ac:dyDescent="0.4">
      <c r="A76" s="168">
        <f t="shared" si="16"/>
        <v>59</v>
      </c>
      <c r="B76" s="168">
        <f t="shared" si="30"/>
        <v>78</v>
      </c>
      <c r="C76" s="168">
        <f ca="1">IFERROR(MIN(VLOOKUP(B76,INDIRECT("mort_alb_"&amp;Cover!$J$4),IF(Sex="M",2,3))/1000,1)*Mort_Int,"")</f>
        <v>1.9742400000000004E-2</v>
      </c>
      <c r="D76" s="168">
        <f t="shared" ca="1" si="1"/>
        <v>1.6425696171722431E-2</v>
      </c>
      <c r="E76" s="168">
        <f t="shared" ca="1" si="17"/>
        <v>0.83200098122429034</v>
      </c>
      <c r="F76" s="168">
        <f t="shared" ca="1" si="18"/>
        <v>5.0738408425247006E-4</v>
      </c>
      <c r="G76" s="168">
        <f t="shared" ca="1" si="19"/>
        <v>2.6856733124839494E-2</v>
      </c>
      <c r="H76" s="168">
        <f>Prem!H76</f>
        <v>0</v>
      </c>
      <c r="I76" s="168">
        <f>Prem!I76</f>
        <v>1.19</v>
      </c>
      <c r="J76" s="168">
        <f>Prem!J76</f>
        <v>1.19</v>
      </c>
      <c r="K76" s="168">
        <f>Prem!K76</f>
        <v>0</v>
      </c>
      <c r="L76" s="168">
        <f>Prem!L76</f>
        <v>1190</v>
      </c>
      <c r="M76" s="168">
        <f>Prem!M76</f>
        <v>1190</v>
      </c>
      <c r="N76" s="168">
        <f ca="1">IFERROR(IF(B76&lt;=Age+B,MAX(MIN(A76,PPP)*$E$10,CV!Z77+L77)*K76,""),"")</f>
        <v>0</v>
      </c>
      <c r="O76" s="171" cm="1">
        <f t="array" ref="O76">IFERROR(IF(B76&lt;=Age+B,VLOOKUP(IF(PPP&lt;20,PPP,"20+"),Exp_load_CV,_xlfn.IFS(A76=1,1,A76=2,2,A76=3,3,AND(A76&gt;=4,A76&lt;=10),4,AND(A76&gt;=11,A76&lt;=PPP),5,A76&gt;PPP,6)+1,FALSE),""),"")</f>
        <v>0</v>
      </c>
      <c r="P76" s="168">
        <f t="shared" ca="1" si="20"/>
        <v>0.60378706026043938</v>
      </c>
      <c r="Q76" s="168">
        <f t="shared" ca="1" si="21"/>
        <v>31.959512418558997</v>
      </c>
      <c r="R76" s="168">
        <f t="shared" ca="1" si="22"/>
        <v>0</v>
      </c>
      <c r="S76" s="168">
        <f t="shared" ca="1" si="23"/>
        <v>0</v>
      </c>
      <c r="T76" s="168">
        <f t="shared" ca="1" si="24"/>
        <v>0</v>
      </c>
      <c r="U76" s="168">
        <f t="shared" ca="1" si="25"/>
        <v>0.60378706026043938</v>
      </c>
      <c r="V76" s="168">
        <f t="shared" ca="1" si="26"/>
        <v>31.959512418558997</v>
      </c>
      <c r="W76" s="168">
        <f t="shared" ca="1" si="27"/>
        <v>0</v>
      </c>
      <c r="X76" s="168">
        <f>IFERROR(IF(B76&lt;=Age+B,IF(B76&lt;=Begin_Age,(SUM(U76:$U$124)+SUM(V76:$V$124)-SUM(W76:$W$124))/G76,0),""),"")</f>
        <v>0</v>
      </c>
      <c r="Y76" s="168">
        <f t="shared" si="28"/>
        <v>1</v>
      </c>
      <c r="Z76" s="168">
        <f t="shared" si="29"/>
        <v>0</v>
      </c>
    </row>
    <row r="77" spans="1:26" x14ac:dyDescent="0.4">
      <c r="A77" s="168">
        <f t="shared" si="16"/>
        <v>60</v>
      </c>
      <c r="B77" s="168">
        <f t="shared" si="30"/>
        <v>79</v>
      </c>
      <c r="C77" s="168">
        <f ca="1">IFERROR(MIN(VLOOKUP(B77,INDIRECT("mort_alb_"&amp;Cover!$J$4),IF(Sex="M",2,3))/1000,1)*Mort_Int,"")</f>
        <v>2.2658400000000002E-2</v>
      </c>
      <c r="D77" s="168">
        <f t="shared" ca="1" si="1"/>
        <v>1.8479631038835109E-2</v>
      </c>
      <c r="E77" s="168">
        <f t="shared" ca="1" si="17"/>
        <v>0.81557528505256793</v>
      </c>
      <c r="F77" s="168">
        <f t="shared" ca="1" si="18"/>
        <v>5.4624825190099046E-4</v>
      </c>
      <c r="G77" s="168">
        <f t="shared" ca="1" si="19"/>
        <v>2.5192839001718335E-2</v>
      </c>
      <c r="H77" s="168">
        <f>Prem!H77</f>
        <v>0</v>
      </c>
      <c r="I77" s="168">
        <f>Prem!I77</f>
        <v>1.19</v>
      </c>
      <c r="J77" s="168">
        <f>Prem!J77</f>
        <v>1.19</v>
      </c>
      <c r="K77" s="168">
        <f>Prem!K77</f>
        <v>0</v>
      </c>
      <c r="L77" s="168">
        <f>Prem!L77</f>
        <v>1190</v>
      </c>
      <c r="M77" s="168">
        <f>Prem!M77</f>
        <v>0</v>
      </c>
      <c r="N77" s="168">
        <f ca="1">IFERROR(IF(B77&lt;=Age+B,MAX(MIN(A77,PPP)*$E$10,CV!Z78+L78)*K77,""),"")</f>
        <v>0</v>
      </c>
      <c r="O77" s="171" cm="1">
        <f t="array" ref="O77">IFERROR(IF(B77&lt;=Age+B,VLOOKUP(IF(PPP&lt;20,PPP,"20+"),Exp_load_CV,_xlfn.IFS(A77=1,1,A77=2,2,A77=3,3,AND(A77&gt;=4,A77&lt;=10),4,AND(A77&gt;=11,A77&lt;=PPP),5,A77&gt;PPP,6)+1,FALSE),""),"")</f>
        <v>0</v>
      </c>
      <c r="P77" s="168">
        <f t="shared" ca="1" si="20"/>
        <v>0</v>
      </c>
      <c r="Q77" s="168">
        <f t="shared" ca="1" si="21"/>
        <v>29.97947841204482</v>
      </c>
      <c r="R77" s="168">
        <f t="shared" ca="1" si="22"/>
        <v>0</v>
      </c>
      <c r="S77" s="168">
        <f t="shared" ca="1" si="23"/>
        <v>0</v>
      </c>
      <c r="T77" s="168">
        <f t="shared" ca="1" si="24"/>
        <v>0</v>
      </c>
      <c r="U77" s="168">
        <f t="shared" ca="1" si="25"/>
        <v>0</v>
      </c>
      <c r="V77" s="168">
        <f t="shared" ca="1" si="26"/>
        <v>29.97947841204482</v>
      </c>
      <c r="W77" s="168">
        <f t="shared" ca="1" si="27"/>
        <v>0</v>
      </c>
      <c r="X77" s="168">
        <f>IFERROR(IF(B77&lt;=Age+B,IF(B77&lt;=Begin_Age,(SUM(U77:$U$124)+SUM(V77:$V$124)-SUM(W77:$W$124))/G77,0),""),"")</f>
        <v>0</v>
      </c>
      <c r="Y77" s="168">
        <f t="shared" si="28"/>
        <v>1</v>
      </c>
      <c r="Z77" s="168">
        <f t="shared" si="29"/>
        <v>0</v>
      </c>
    </row>
    <row r="78" spans="1:26" x14ac:dyDescent="0.4">
      <c r="A78" s="168">
        <f t="shared" si="16"/>
        <v>61</v>
      </c>
      <c r="B78" s="168">
        <f t="shared" si="30"/>
        <v>80</v>
      </c>
      <c r="C78" s="168">
        <f ca="1">IFERROR(MIN(VLOOKUP(B78,INDIRECT("mort_alb_"&amp;Cover!$J$4),IF(Sex="M",2,3))/1000,1)*Mort_Int,"")</f>
        <v>2.5998400000000001E-2</v>
      </c>
      <c r="D78" s="168">
        <f t="shared" ca="1" si="1"/>
        <v>2.0723211651310632E-2</v>
      </c>
      <c r="E78" s="168">
        <f t="shared" ca="1" si="17"/>
        <v>0.79709565401373283</v>
      </c>
      <c r="F78" s="168">
        <f t="shared" ca="1" si="18"/>
        <v>5.8618882701879683E-4</v>
      </c>
      <c r="G78" s="168">
        <f t="shared" ca="1" si="19"/>
        <v>2.3561731654049577E-2</v>
      </c>
      <c r="H78" s="168">
        <f>Prem!H78</f>
        <v>0</v>
      </c>
      <c r="I78" s="168">
        <f>Prem!I78</f>
        <v>1.19</v>
      </c>
      <c r="J78" s="168">
        <f>Prem!J78</f>
        <v>0</v>
      </c>
      <c r="K78" s="168">
        <f>Prem!K78</f>
        <v>0</v>
      </c>
      <c r="L78" s="168">
        <f>Prem!L78</f>
        <v>1190</v>
      </c>
      <c r="M78" s="168">
        <f>Prem!M78</f>
        <v>0</v>
      </c>
      <c r="N78" s="168">
        <f ca="1">IFERROR(IF(B78&lt;=Age+B,MAX(MIN(A78,PPP)*$E$10,CV!Z79+L79)*K78,""),"")</f>
        <v>0</v>
      </c>
      <c r="O78" s="171" cm="1">
        <f t="array" ref="O78">IFERROR(IF(B78&lt;=Age+B,VLOOKUP(IF(PPP&lt;20,PPP,"20+"),Exp_load_CV,_xlfn.IFS(A78=1,1,A78=2,2,A78=3,3,AND(A78&gt;=4,A78&lt;=10),4,AND(A78&gt;=11,A78&lt;=PPP),5,A78&gt;PPP,6)+1,FALSE),""),"")</f>
        <v>0</v>
      </c>
      <c r="P78" s="168">
        <f t="shared" ca="1" si="20"/>
        <v>0</v>
      </c>
      <c r="Q78" s="168">
        <f t="shared" ca="1" si="21"/>
        <v>28.038460668318997</v>
      </c>
      <c r="R78" s="168">
        <f t="shared" ca="1" si="22"/>
        <v>0</v>
      </c>
      <c r="S78" s="168">
        <f t="shared" ca="1" si="23"/>
        <v>0</v>
      </c>
      <c r="T78" s="168">
        <f t="shared" ca="1" si="24"/>
        <v>0</v>
      </c>
      <c r="U78" s="168">
        <f t="shared" ca="1" si="25"/>
        <v>0</v>
      </c>
      <c r="V78" s="168">
        <f t="shared" ca="1" si="26"/>
        <v>28.038460668318997</v>
      </c>
      <c r="W78" s="168">
        <f t="shared" ca="1" si="27"/>
        <v>0</v>
      </c>
      <c r="X78" s="168">
        <f>IFERROR(IF(B78&lt;=Age+B,IF(B78&lt;=Begin_Age,(SUM(U78:$U$124)+SUM(V78:$V$124)-SUM(W78:$W$124))/G78,0),""),"")</f>
        <v>0</v>
      </c>
      <c r="Y78" s="168">
        <f t="shared" si="28"/>
        <v>1</v>
      </c>
      <c r="Z78" s="168">
        <f t="shared" si="29"/>
        <v>0</v>
      </c>
    </row>
    <row r="79" spans="1:26" x14ac:dyDescent="0.4">
      <c r="A79" s="168">
        <f t="shared" si="16"/>
        <v>62</v>
      </c>
      <c r="B79" s="168">
        <f t="shared" si="30"/>
        <v>81</v>
      </c>
      <c r="C79" s="168">
        <f ca="1">IFERROR(MIN(VLOOKUP(B79,INDIRECT("mort_alb_"&amp;Cover!$J$4),IF(Sex="M",2,3))/1000,1)*Mort_Int,"")</f>
        <v>2.9767200000000008E-2</v>
      </c>
      <c r="D79" s="168">
        <f t="shared" ca="1" si="1"/>
        <v>2.3110433766290701E-2</v>
      </c>
      <c r="E79" s="168">
        <f t="shared" ca="1" si="17"/>
        <v>0.7763724423624222</v>
      </c>
      <c r="F79" s="168">
        <f t="shared" ca="1" si="18"/>
        <v>6.2556476677591403E-4</v>
      </c>
      <c r="G79" s="168">
        <f t="shared" ca="1" si="19"/>
        <v>2.1960922803650661E-2</v>
      </c>
      <c r="H79" s="168">
        <f>Prem!H79</f>
        <v>0</v>
      </c>
      <c r="I79" s="168">
        <f>Prem!I79</f>
        <v>1.19</v>
      </c>
      <c r="J79" s="168">
        <f>Prem!J79</f>
        <v>0</v>
      </c>
      <c r="K79" s="168">
        <f>Prem!K79</f>
        <v>0</v>
      </c>
      <c r="L79" s="168">
        <f>Prem!L79</f>
        <v>1190</v>
      </c>
      <c r="M79" s="168">
        <f>Prem!M79</f>
        <v>0</v>
      </c>
      <c r="N79" s="168">
        <f ca="1">IFERROR(IF(B79&lt;=Age+B,MAX(MIN(A79,PPP)*$E$10,CV!Z80+L80)*K79,""),"")</f>
        <v>0</v>
      </c>
      <c r="O79" s="171" cm="1">
        <f t="array" ref="O79">IFERROR(IF(B79&lt;=Age+B,VLOOKUP(IF(PPP&lt;20,PPP,"20+"),Exp_load_CV,_xlfn.IFS(A79=1,1,A79=2,2,A79=3,3,AND(A79&gt;=4,A79&lt;=10),4,AND(A79&gt;=11,A79&lt;=PPP),5,A79&gt;PPP,6)+1,FALSE),""),"")</f>
        <v>0</v>
      </c>
      <c r="P79" s="168">
        <f t="shared" ca="1" si="20"/>
        <v>0</v>
      </c>
      <c r="Q79" s="168">
        <f t="shared" ca="1" si="21"/>
        <v>26.133498136344286</v>
      </c>
      <c r="R79" s="168">
        <f t="shared" ca="1" si="22"/>
        <v>0</v>
      </c>
      <c r="S79" s="168">
        <f t="shared" ca="1" si="23"/>
        <v>0</v>
      </c>
      <c r="T79" s="168">
        <f t="shared" ca="1" si="24"/>
        <v>0</v>
      </c>
      <c r="U79" s="168">
        <f t="shared" ca="1" si="25"/>
        <v>0</v>
      </c>
      <c r="V79" s="168">
        <f t="shared" ca="1" si="26"/>
        <v>26.133498136344286</v>
      </c>
      <c r="W79" s="168">
        <f t="shared" ca="1" si="27"/>
        <v>0</v>
      </c>
      <c r="X79" s="168">
        <f>IFERROR(IF(B79&lt;=Age+B,IF(B79&lt;=Begin_Age,(SUM(U79:$U$124)+SUM(V79:$V$124)-SUM(W79:$W$124))/G79,0),""),"")</f>
        <v>0</v>
      </c>
      <c r="Y79" s="168">
        <f t="shared" si="28"/>
        <v>1</v>
      </c>
      <c r="Z79" s="168">
        <f t="shared" si="29"/>
        <v>0</v>
      </c>
    </row>
    <row r="80" spans="1:26" x14ac:dyDescent="0.4">
      <c r="A80" s="168">
        <f t="shared" si="16"/>
        <v>63</v>
      </c>
      <c r="B80" s="168">
        <f t="shared" si="30"/>
        <v>82</v>
      </c>
      <c r="C80" s="168">
        <f ca="1">IFERROR(MIN(VLOOKUP(B80,INDIRECT("mort_alb_"&amp;Cover!$J$4),IF(Sex="M",2,3))/1000,1)*Mort_Int,"")</f>
        <v>3.3421600000000003E-2</v>
      </c>
      <c r="D80" s="168">
        <f t="shared" ca="1" si="1"/>
        <v>2.5175221546496471E-2</v>
      </c>
      <c r="E80" s="168">
        <f t="shared" ca="1" si="17"/>
        <v>0.75326200859613146</v>
      </c>
      <c r="F80" s="168">
        <f t="shared" ca="1" si="18"/>
        <v>6.5211050138210729E-4</v>
      </c>
      <c r="G80" s="168">
        <f t="shared" ca="1" si="19"/>
        <v>2.0389672365904141E-2</v>
      </c>
      <c r="H80" s="168">
        <f>Prem!H80</f>
        <v>0</v>
      </c>
      <c r="I80" s="168">
        <f>Prem!I80</f>
        <v>1.19</v>
      </c>
      <c r="J80" s="168">
        <f>Prem!J80</f>
        <v>0</v>
      </c>
      <c r="K80" s="168">
        <f>Prem!K80</f>
        <v>0</v>
      </c>
      <c r="L80" s="168">
        <f>Prem!L80</f>
        <v>1190</v>
      </c>
      <c r="M80" s="168">
        <f>Prem!M80</f>
        <v>0</v>
      </c>
      <c r="N80" s="168">
        <f ca="1">IFERROR(IF(B80&lt;=Age+B,MAX(MIN(A80,PPP)*$E$10,CV!Z81+L81)*K80,""),"")</f>
        <v>0</v>
      </c>
      <c r="O80" s="171" cm="1">
        <f t="array" ref="O80">IFERROR(IF(B80&lt;=Age+B,VLOOKUP(IF(PPP&lt;20,PPP,"20+"),Exp_load_CV,_xlfn.IFS(A80=1,1,A80=2,2,A80=3,3,AND(A80&gt;=4,A80&lt;=10),4,AND(A80&gt;=11,A80&lt;=PPP),5,A80&gt;PPP,6)+1,FALSE),""),"")</f>
        <v>0</v>
      </c>
      <c r="P80" s="168">
        <f t="shared" ca="1" si="20"/>
        <v>0</v>
      </c>
      <c r="Q80" s="168">
        <f t="shared" ca="1" si="21"/>
        <v>24.26371011542593</v>
      </c>
      <c r="R80" s="168">
        <f t="shared" ca="1" si="22"/>
        <v>0</v>
      </c>
      <c r="S80" s="168">
        <f t="shared" ca="1" si="23"/>
        <v>0</v>
      </c>
      <c r="T80" s="168">
        <f t="shared" ca="1" si="24"/>
        <v>0</v>
      </c>
      <c r="U80" s="168">
        <f t="shared" ca="1" si="25"/>
        <v>0</v>
      </c>
      <c r="V80" s="168">
        <f t="shared" ca="1" si="26"/>
        <v>24.26371011542593</v>
      </c>
      <c r="W80" s="168">
        <f t="shared" ca="1" si="27"/>
        <v>0</v>
      </c>
      <c r="X80" s="168">
        <f>IFERROR(IF(B80&lt;=Age+B,IF(B80&lt;=Begin_Age,(SUM(U80:$U$124)+SUM(V80:$V$124)-SUM(W80:$W$124))/G80,0),""),"")</f>
        <v>0</v>
      </c>
      <c r="Y80" s="168">
        <f t="shared" si="28"/>
        <v>1</v>
      </c>
      <c r="Z80" s="168">
        <f t="shared" si="29"/>
        <v>0</v>
      </c>
    </row>
    <row r="81" spans="1:26" x14ac:dyDescent="0.4">
      <c r="A81" s="168">
        <f t="shared" si="16"/>
        <v>64</v>
      </c>
      <c r="B81" s="168">
        <f t="shared" si="30"/>
        <v>83</v>
      </c>
      <c r="C81" s="168">
        <f ca="1">IFERROR(MIN(VLOOKUP(B81,INDIRECT("mort_alb_"&amp;Cover!$J$4),IF(Sex="M",2,3))/1000,1)*Mort_Int,"")</f>
        <v>3.7513600000000008E-2</v>
      </c>
      <c r="D81" s="168">
        <f t="shared" ca="1" si="1"/>
        <v>2.7313156494665196E-2</v>
      </c>
      <c r="E81" s="168">
        <f t="shared" ca="1" si="17"/>
        <v>0.72808678704963503</v>
      </c>
      <c r="F81" s="168">
        <f t="shared" ca="1" si="18"/>
        <v>6.7702311320549003E-4</v>
      </c>
      <c r="G81" s="168">
        <f t="shared" ca="1" si="19"/>
        <v>1.8859537695655355E-2</v>
      </c>
      <c r="H81" s="168">
        <f>Prem!H81</f>
        <v>0</v>
      </c>
      <c r="I81" s="168">
        <f>Prem!I81</f>
        <v>1.19</v>
      </c>
      <c r="J81" s="168">
        <f>Prem!J81</f>
        <v>0</v>
      </c>
      <c r="K81" s="168">
        <f>Prem!K81</f>
        <v>0</v>
      </c>
      <c r="L81" s="168">
        <f>Prem!L81</f>
        <v>1190</v>
      </c>
      <c r="M81" s="168">
        <f>Prem!M81</f>
        <v>0</v>
      </c>
      <c r="N81" s="168">
        <f ca="1">IFERROR(IF(B81&lt;=Age+B,MAX(MIN(A81,PPP)*$E$10,CV!Z82+L82)*K81,""),"")</f>
        <v>0</v>
      </c>
      <c r="O81" s="171" cm="1">
        <f t="array" ref="O81">IFERROR(IF(B81&lt;=Age+B,VLOOKUP(IF(PPP&lt;20,PPP,"20+"),Exp_load_CV,_xlfn.IFS(A81=1,1,A81=2,2,A81=3,3,AND(A81&gt;=4,A81&lt;=10),4,AND(A81&gt;=11,A81&lt;=PPP),5,A81&gt;PPP,6)+1,FALSE),""),"")</f>
        <v>0</v>
      </c>
      <c r="P81" s="168">
        <f t="shared" ca="1" si="20"/>
        <v>0</v>
      </c>
      <c r="Q81" s="168">
        <f t="shared" ca="1" si="21"/>
        <v>22.442849857829874</v>
      </c>
      <c r="R81" s="168">
        <f t="shared" ca="1" si="22"/>
        <v>0</v>
      </c>
      <c r="S81" s="168">
        <f t="shared" ca="1" si="23"/>
        <v>0</v>
      </c>
      <c r="T81" s="168">
        <f t="shared" ca="1" si="24"/>
        <v>0</v>
      </c>
      <c r="U81" s="168">
        <f t="shared" ca="1" si="25"/>
        <v>0</v>
      </c>
      <c r="V81" s="168">
        <f t="shared" ca="1" si="26"/>
        <v>22.442849857829874</v>
      </c>
      <c r="W81" s="168">
        <f t="shared" ca="1" si="27"/>
        <v>0</v>
      </c>
      <c r="X81" s="168">
        <f>IFERROR(IF(B81&lt;=Age+B,IF(B81&lt;=Begin_Age,(SUM(U81:$U$124)+SUM(V81:$V$124)-SUM(W81:$W$124))/G81,0),""),"")</f>
        <v>0</v>
      </c>
      <c r="Y81" s="168">
        <f t="shared" si="28"/>
        <v>1</v>
      </c>
      <c r="Z81" s="168">
        <f t="shared" si="29"/>
        <v>0</v>
      </c>
    </row>
    <row r="82" spans="1:26" x14ac:dyDescent="0.4">
      <c r="A82" s="168">
        <f t="shared" ref="A82:A113" si="31">IF(B82&lt;=Age+B,B82-Age+1,"")</f>
        <v>65</v>
      </c>
      <c r="B82" s="168">
        <f t="shared" si="30"/>
        <v>84</v>
      </c>
      <c r="C82" s="168">
        <f ca="1">IFERROR(MIN(VLOOKUP(B82,INDIRECT("mort_alb_"&amp;Cover!$J$4),IF(Sex="M",2,3))/1000,1)*Mort_Int,"")</f>
        <v>4.2093600000000002E-2</v>
      </c>
      <c r="D82" s="168">
        <f t="shared" ref="D82:D123" ca="1" si="32">IFERROR(E82*C82,"")</f>
        <v>2.949808489512868E-2</v>
      </c>
      <c r="E82" s="168">
        <f t="shared" ref="E82:E113" ca="1" si="33">IFERROR(IF(B82&lt;=Age+B,IF(A82=1,1,E81-D81),""),"")</f>
        <v>0.70077363055496988</v>
      </c>
      <c r="F82" s="168">
        <f t="shared" ref="F82:F113" ca="1" si="34">IFERROR(D82/(1+CV_Int)^(B82+1),"")</f>
        <v>6.9969558437077959E-4</v>
      </c>
      <c r="G82" s="168">
        <f t="shared" ref="G82:G113" ca="1" si="35">IFERROR(E82/(1+CV_Int)^B82,"")</f>
        <v>1.7370381380244614E-2</v>
      </c>
      <c r="H82" s="168">
        <f>Prem!H82</f>
        <v>0</v>
      </c>
      <c r="I82" s="168">
        <f>Prem!I82</f>
        <v>1.19</v>
      </c>
      <c r="J82" s="168">
        <f>Prem!J82</f>
        <v>0</v>
      </c>
      <c r="K82" s="168">
        <f>Prem!K82</f>
        <v>0</v>
      </c>
      <c r="L82" s="168">
        <f>Prem!L82</f>
        <v>1190</v>
      </c>
      <c r="M82" s="168">
        <f>Prem!M82</f>
        <v>0</v>
      </c>
      <c r="N82" s="168">
        <f ca="1">IFERROR(IF(B82&lt;=Age+B,MAX(MIN(A82,PPP)*$E$10,CV!Z83+L83)*K82,""),"")</f>
        <v>0</v>
      </c>
      <c r="O82" s="171" cm="1">
        <f t="array" ref="O82">IFERROR(IF(B82&lt;=Age+B,VLOOKUP(IF(PPP&lt;20,PPP,"20+"),Exp_load_CV,_xlfn.IFS(A82=1,1,A82=2,2,A82=3,3,AND(A82&gt;=4,A82&lt;=10),4,AND(A82&gt;=11,A82&lt;=PPP),5,A82&gt;PPP,6)+1,FALSE),""),"")</f>
        <v>0</v>
      </c>
      <c r="P82" s="168">
        <f t="shared" ref="P82:P113" ca="1" si="36">IFERROR(IF(B82&lt;=Age+B,(M82+N82)*F82,""),"")</f>
        <v>0</v>
      </c>
      <c r="Q82" s="168">
        <f t="shared" ref="Q82:Q113" ca="1" si="37">IFERROR(IF(B82&lt;=Age+B,L82*G82,""),"")</f>
        <v>20.670753842491091</v>
      </c>
      <c r="R82" s="168">
        <f t="shared" ref="R82:R113" ca="1" si="38">IFERROR(IF(B82&lt;=Age+B,H82*G82,""),"")</f>
        <v>0</v>
      </c>
      <c r="S82" s="168">
        <f t="shared" ref="S82:S113" ca="1" si="39">IFERROR(IF(B82&lt;=Age+B,R82*O82,""),"")</f>
        <v>0</v>
      </c>
      <c r="T82" s="168">
        <f t="shared" ref="T82:T113" ca="1" si="40">IFERROR(IF(B82&lt;=Age+B,$E$10*(1-O82)*H82,""),"")</f>
        <v>0</v>
      </c>
      <c r="U82" s="168">
        <f t="shared" ref="U82:U113" ca="1" si="41">IFERROR(IF(B82&lt;=Age+B,(N82+M82)*F82,""),"")</f>
        <v>0</v>
      </c>
      <c r="V82" s="168">
        <f t="shared" ref="V82:V113" ca="1" si="42">IFERROR(IF(B82&lt;=Age+B,L82*G82,""),"")</f>
        <v>20.670753842491091</v>
      </c>
      <c r="W82" s="168">
        <f t="shared" ref="W82:W113" ca="1" si="43">IFERROR(IF(B82&lt;=Age+B,T82*R82,""),"")</f>
        <v>0</v>
      </c>
      <c r="X82" s="168">
        <f>IFERROR(IF(B82&lt;=Age+B,IF(B82&lt;=Begin_Age,(SUM(U82:$U$124)+SUM(V82:$V$124)-SUM(W82:$W$124))/G82,0),""),"")</f>
        <v>0</v>
      </c>
      <c r="Y82" s="168">
        <f t="shared" ref="Y82:Y113" si="44">IFERROR(IF(B82&lt;=Age+B,IF(A82&lt;MIN(20,PPP)+1,0.9+0.1*(A82-1)/MIN(20,PPP),1),""),"")</f>
        <v>1</v>
      </c>
      <c r="Z82" s="168">
        <f t="shared" ref="Z82:Z113" si="45">IFERROR(IF(B82&lt;=Age+B,Y82*MAX(X82-L82,0),""),"")</f>
        <v>0</v>
      </c>
    </row>
    <row r="83" spans="1:26" x14ac:dyDescent="0.4">
      <c r="A83" s="168">
        <f t="shared" si="31"/>
        <v>66</v>
      </c>
      <c r="B83" s="168">
        <f t="shared" ref="B83:B114" si="46">IFERROR(IF(AND(Age&gt;=0,Age&lt;=60),IF(B82+1&lt;=Age+B,B82+1,""),""),"")</f>
        <v>85</v>
      </c>
      <c r="C83" s="168">
        <f ca="1">IFERROR(MIN(VLOOKUP(B83,INDIRECT("mort_alb_"&amp;Cover!$J$4),IF(Sex="M",2,3))/1000,1)*Mort_Int,"")</f>
        <v>4.7214400000000004E-2</v>
      </c>
      <c r="D83" s="168">
        <f t="shared" ca="1" si="32"/>
        <v>3.1693872123002009E-2</v>
      </c>
      <c r="E83" s="168">
        <f t="shared" ca="1" si="33"/>
        <v>0.67127554565984116</v>
      </c>
      <c r="F83" s="168">
        <f t="shared" ca="1" si="34"/>
        <v>7.194064427249959E-4</v>
      </c>
      <c r="G83" s="168">
        <f t="shared" ca="1" si="35"/>
        <v>1.5922678942179087E-2</v>
      </c>
      <c r="H83" s="168">
        <f>Prem!H83</f>
        <v>0</v>
      </c>
      <c r="I83" s="168">
        <f>Prem!I83</f>
        <v>1.19</v>
      </c>
      <c r="J83" s="168">
        <f>Prem!J83</f>
        <v>0</v>
      </c>
      <c r="K83" s="168">
        <f>Prem!K83</f>
        <v>0</v>
      </c>
      <c r="L83" s="168">
        <f>Prem!L83</f>
        <v>1190</v>
      </c>
      <c r="M83" s="168">
        <f>Prem!M83</f>
        <v>0</v>
      </c>
      <c r="N83" s="168">
        <f ca="1">IFERROR(IF(B83&lt;=Age+B,MAX(MIN(A83,PPP)*$E$10,CV!Z84+L84)*K83,""),"")</f>
        <v>0</v>
      </c>
      <c r="O83" s="171" cm="1">
        <f t="array" ref="O83">IFERROR(IF(B83&lt;=Age+B,VLOOKUP(IF(PPP&lt;20,PPP,"20+"),Exp_load_CV,_xlfn.IFS(A83=1,1,A83=2,2,A83=3,3,AND(A83&gt;=4,A83&lt;=10),4,AND(A83&gt;=11,A83&lt;=PPP),5,A83&gt;PPP,6)+1,FALSE),""),"")</f>
        <v>0</v>
      </c>
      <c r="P83" s="168">
        <f t="shared" ca="1" si="36"/>
        <v>0</v>
      </c>
      <c r="Q83" s="168">
        <f t="shared" ca="1" si="37"/>
        <v>18.947987941193112</v>
      </c>
      <c r="R83" s="168">
        <f t="shared" ca="1" si="38"/>
        <v>0</v>
      </c>
      <c r="S83" s="168">
        <f t="shared" ca="1" si="39"/>
        <v>0</v>
      </c>
      <c r="T83" s="168">
        <f t="shared" ca="1" si="40"/>
        <v>0</v>
      </c>
      <c r="U83" s="168">
        <f t="shared" ca="1" si="41"/>
        <v>0</v>
      </c>
      <c r="V83" s="168">
        <f t="shared" ca="1" si="42"/>
        <v>18.947987941193112</v>
      </c>
      <c r="W83" s="168">
        <f t="shared" ca="1" si="43"/>
        <v>0</v>
      </c>
      <c r="X83" s="168">
        <f>IFERROR(IF(B83&lt;=Age+B,IF(B83&lt;=Begin_Age,(SUM(U83:$U$124)+SUM(V83:$V$124)-SUM(W83:$W$124))/G83,0),""),"")</f>
        <v>0</v>
      </c>
      <c r="Y83" s="168">
        <f t="shared" si="44"/>
        <v>1</v>
      </c>
      <c r="Z83" s="168">
        <f t="shared" si="45"/>
        <v>0</v>
      </c>
    </row>
    <row r="84" spans="1:26" x14ac:dyDescent="0.4">
      <c r="A84" s="168">
        <f t="shared" si="31"/>
        <v>67</v>
      </c>
      <c r="B84" s="168">
        <f t="shared" si="46"/>
        <v>86</v>
      </c>
      <c r="C84" s="168">
        <f ca="1">IFERROR(MIN(VLOOKUP(B84,INDIRECT("mort_alb_"&amp;Cover!$J$4),IF(Sex="M",2,3))/1000,1)*Mort_Int,"")</f>
        <v>5.2936800000000006E-2</v>
      </c>
      <c r="D84" s="168">
        <f t="shared" ca="1" si="32"/>
        <v>3.3857407135684948E-2</v>
      </c>
      <c r="E84" s="168">
        <f t="shared" ca="1" si="33"/>
        <v>0.63958167353683915</v>
      </c>
      <c r="F84" s="168">
        <f t="shared" ca="1" si="34"/>
        <v>7.3542167741134652E-4</v>
      </c>
      <c r="G84" s="168">
        <f t="shared" ca="1" si="35"/>
        <v>1.4517606899073179E-2</v>
      </c>
      <c r="H84" s="168">
        <f>Prem!H84</f>
        <v>0</v>
      </c>
      <c r="I84" s="168">
        <f>Prem!I84</f>
        <v>1.19</v>
      </c>
      <c r="J84" s="168">
        <f>Prem!J84</f>
        <v>0</v>
      </c>
      <c r="K84" s="168">
        <f>Prem!K84</f>
        <v>0</v>
      </c>
      <c r="L84" s="168">
        <f>Prem!L84</f>
        <v>1190</v>
      </c>
      <c r="M84" s="168">
        <f>Prem!M84</f>
        <v>0</v>
      </c>
      <c r="N84" s="168">
        <f ca="1">IFERROR(IF(B84&lt;=Age+B,MAX(MIN(A84,PPP)*$E$10,CV!Z85+L85)*K84,""),"")</f>
        <v>0</v>
      </c>
      <c r="O84" s="171" cm="1">
        <f t="array" ref="O84">IFERROR(IF(B84&lt;=Age+B,VLOOKUP(IF(PPP&lt;20,PPP,"20+"),Exp_load_CV,_xlfn.IFS(A84=1,1,A84=2,2,A84=3,3,AND(A84&gt;=4,A84&lt;=10),4,AND(A84&gt;=11,A84&lt;=PPP),5,A84&gt;PPP,6)+1,FALSE),""),"")</f>
        <v>0</v>
      </c>
      <c r="P84" s="168">
        <f t="shared" ca="1" si="36"/>
        <v>0</v>
      </c>
      <c r="Q84" s="168">
        <f t="shared" ca="1" si="37"/>
        <v>17.275952209897085</v>
      </c>
      <c r="R84" s="168">
        <f t="shared" ca="1" si="38"/>
        <v>0</v>
      </c>
      <c r="S84" s="168">
        <f t="shared" ca="1" si="39"/>
        <v>0</v>
      </c>
      <c r="T84" s="168">
        <f t="shared" ca="1" si="40"/>
        <v>0</v>
      </c>
      <c r="U84" s="168">
        <f t="shared" ca="1" si="41"/>
        <v>0</v>
      </c>
      <c r="V84" s="168">
        <f t="shared" ca="1" si="42"/>
        <v>17.275952209897085</v>
      </c>
      <c r="W84" s="168">
        <f t="shared" ca="1" si="43"/>
        <v>0</v>
      </c>
      <c r="X84" s="168">
        <f>IFERROR(IF(B84&lt;=Age+B,IF(B84&lt;=Begin_Age,(SUM(U84:$U$124)+SUM(V84:$V$124)-SUM(W84:$W$124))/G84,0),""),"")</f>
        <v>0</v>
      </c>
      <c r="Y84" s="168">
        <f t="shared" si="44"/>
        <v>1</v>
      </c>
      <c r="Z84" s="168">
        <f t="shared" si="45"/>
        <v>0</v>
      </c>
    </row>
    <row r="85" spans="1:26" x14ac:dyDescent="0.4">
      <c r="A85" s="168">
        <f t="shared" si="31"/>
        <v>68</v>
      </c>
      <c r="B85" s="168">
        <f t="shared" si="46"/>
        <v>87</v>
      </c>
      <c r="C85" s="168">
        <f ca="1">IFERROR(MIN(VLOOKUP(B85,INDIRECT("mort_alb_"&amp;Cover!$J$4),IF(Sex="M",2,3))/1000,1)*Mort_Int,"")</f>
        <v>5.9324000000000002E-2</v>
      </c>
      <c r="D85" s="168">
        <f t="shared" ca="1" si="32"/>
        <v>3.5933986379982075E-2</v>
      </c>
      <c r="E85" s="168">
        <f t="shared" ca="1" si="33"/>
        <v>0.60572426640115418</v>
      </c>
      <c r="F85" s="168">
        <f t="shared" ca="1" si="34"/>
        <v>7.4691613203752938E-4</v>
      </c>
      <c r="G85" s="168">
        <f t="shared" ca="1" si="35"/>
        <v>1.3157025115960116E-2</v>
      </c>
      <c r="H85" s="168">
        <f>Prem!H85</f>
        <v>0</v>
      </c>
      <c r="I85" s="168">
        <f>Prem!I85</f>
        <v>1.19</v>
      </c>
      <c r="J85" s="168">
        <f>Prem!J85</f>
        <v>0</v>
      </c>
      <c r="K85" s="168">
        <f>Prem!K85</f>
        <v>0</v>
      </c>
      <c r="L85" s="168">
        <f>Prem!L85</f>
        <v>1190</v>
      </c>
      <c r="M85" s="168">
        <f>Prem!M85</f>
        <v>0</v>
      </c>
      <c r="N85" s="168">
        <f ca="1">IFERROR(IF(B85&lt;=Age+B,MAX(MIN(A85,PPP)*$E$10,CV!Z86+L86)*K85,""),"")</f>
        <v>0</v>
      </c>
      <c r="O85" s="171" cm="1">
        <f t="array" ref="O85">IFERROR(IF(B85&lt;=Age+B,VLOOKUP(IF(PPP&lt;20,PPP,"20+"),Exp_load_CV,_xlfn.IFS(A85=1,1,A85=2,2,A85=3,3,AND(A85&gt;=4,A85&lt;=10),4,AND(A85&gt;=11,A85&lt;=PPP),5,A85&gt;PPP,6)+1,FALSE),""),"")</f>
        <v>0</v>
      </c>
      <c r="P85" s="168">
        <f t="shared" ca="1" si="36"/>
        <v>0</v>
      </c>
      <c r="Q85" s="168">
        <f t="shared" ca="1" si="37"/>
        <v>15.656859887992537</v>
      </c>
      <c r="R85" s="168">
        <f t="shared" ca="1" si="38"/>
        <v>0</v>
      </c>
      <c r="S85" s="168">
        <f t="shared" ca="1" si="39"/>
        <v>0</v>
      </c>
      <c r="T85" s="168">
        <f t="shared" ca="1" si="40"/>
        <v>0</v>
      </c>
      <c r="U85" s="168">
        <f t="shared" ca="1" si="41"/>
        <v>0</v>
      </c>
      <c r="V85" s="168">
        <f t="shared" ca="1" si="42"/>
        <v>15.656859887992537</v>
      </c>
      <c r="W85" s="168">
        <f t="shared" ca="1" si="43"/>
        <v>0</v>
      </c>
      <c r="X85" s="168">
        <f>IFERROR(IF(B85&lt;=Age+B,IF(B85&lt;=Begin_Age,(SUM(U85:$U$124)+SUM(V85:$V$124)-SUM(W85:$W$124))/G85,0),""),"")</f>
        <v>0</v>
      </c>
      <c r="Y85" s="168">
        <f t="shared" si="44"/>
        <v>1</v>
      </c>
      <c r="Z85" s="168">
        <f t="shared" si="45"/>
        <v>0</v>
      </c>
    </row>
    <row r="86" spans="1:26" x14ac:dyDescent="0.4">
      <c r="A86" s="168">
        <f t="shared" si="31"/>
        <v>69</v>
      </c>
      <c r="B86" s="168">
        <f t="shared" si="46"/>
        <v>88</v>
      </c>
      <c r="C86" s="168">
        <f ca="1">IFERROR(MIN(VLOOKUP(B86,INDIRECT("mort_alb_"&amp;Cover!$J$4),IF(Sex="M",2,3))/1000,1)*Mort_Int,"")</f>
        <v>6.6448000000000007E-2</v>
      </c>
      <c r="D86" s="168">
        <f t="shared" ca="1" si="32"/>
        <v>3.7861424526846842E-2</v>
      </c>
      <c r="E86" s="168">
        <f t="shared" ca="1" si="33"/>
        <v>0.56979028002117205</v>
      </c>
      <c r="F86" s="168">
        <f t="shared" ca="1" si="34"/>
        <v>7.5309038073516159E-4</v>
      </c>
      <c r="G86" s="168">
        <f t="shared" ca="1" si="35"/>
        <v>1.1843538524383634E-2</v>
      </c>
      <c r="H86" s="168">
        <f>Prem!H86</f>
        <v>0</v>
      </c>
      <c r="I86" s="168">
        <f>Prem!I86</f>
        <v>1.19</v>
      </c>
      <c r="J86" s="168">
        <f>Prem!J86</f>
        <v>0</v>
      </c>
      <c r="K86" s="168">
        <f>Prem!K86</f>
        <v>0</v>
      </c>
      <c r="L86" s="168">
        <f>Prem!L86</f>
        <v>1190</v>
      </c>
      <c r="M86" s="168">
        <f>Prem!M86</f>
        <v>0</v>
      </c>
      <c r="N86" s="168">
        <f ca="1">IFERROR(IF(B86&lt;=Age+B,MAX(MIN(A86,PPP)*$E$10,CV!Z87+L87)*K86,""),"")</f>
        <v>0</v>
      </c>
      <c r="O86" s="171" cm="1">
        <f t="array" ref="O86">IFERROR(IF(B86&lt;=Age+B,VLOOKUP(IF(PPP&lt;20,PPP,"20+"),Exp_load_CV,_xlfn.IFS(A86=1,1,A86=2,2,A86=3,3,AND(A86&gt;=4,A86&lt;=10),4,AND(A86&gt;=11,A86&lt;=PPP),5,A86&gt;PPP,6)+1,FALSE),""),"")</f>
        <v>0</v>
      </c>
      <c r="P86" s="168">
        <f t="shared" ca="1" si="36"/>
        <v>0</v>
      </c>
      <c r="Q86" s="168">
        <f t="shared" ca="1" si="37"/>
        <v>14.093810844016526</v>
      </c>
      <c r="R86" s="168">
        <f t="shared" ca="1" si="38"/>
        <v>0</v>
      </c>
      <c r="S86" s="168">
        <f t="shared" ca="1" si="39"/>
        <v>0</v>
      </c>
      <c r="T86" s="168">
        <f t="shared" ca="1" si="40"/>
        <v>0</v>
      </c>
      <c r="U86" s="168">
        <f t="shared" ca="1" si="41"/>
        <v>0</v>
      </c>
      <c r="V86" s="168">
        <f t="shared" ca="1" si="42"/>
        <v>14.093810844016526</v>
      </c>
      <c r="W86" s="168">
        <f t="shared" ca="1" si="43"/>
        <v>0</v>
      </c>
      <c r="X86" s="168">
        <f>IFERROR(IF(B86&lt;=Age+B,IF(B86&lt;=Begin_Age,(SUM(U86:$U$124)+SUM(V86:$V$124)-SUM(W86:$W$124))/G86,0),""),"")</f>
        <v>0</v>
      </c>
      <c r="Y86" s="168">
        <f t="shared" si="44"/>
        <v>1</v>
      </c>
      <c r="Z86" s="168">
        <f t="shared" si="45"/>
        <v>0</v>
      </c>
    </row>
    <row r="87" spans="1:26" x14ac:dyDescent="0.4">
      <c r="A87" s="168">
        <f t="shared" si="31"/>
        <v>70</v>
      </c>
      <c r="B87" s="168">
        <f t="shared" si="46"/>
        <v>89</v>
      </c>
      <c r="C87" s="168">
        <f ca="1">IFERROR(MIN(VLOOKUP(B87,INDIRECT("mort_alb_"&amp;Cover!$J$4),IF(Sex="M",2,3))/1000,1)*Mort_Int,"")</f>
        <v>7.438320000000001E-2</v>
      </c>
      <c r="D87" s="168">
        <f t="shared" ca="1" si="32"/>
        <v>3.9566570444005494E-2</v>
      </c>
      <c r="E87" s="168">
        <f t="shared" ca="1" si="33"/>
        <v>0.53192885549432523</v>
      </c>
      <c r="F87" s="168">
        <f t="shared" ca="1" si="34"/>
        <v>7.5311668240219776E-4</v>
      </c>
      <c r="G87" s="168">
        <f t="shared" ca="1" si="35"/>
        <v>1.0580439307670232E-2</v>
      </c>
      <c r="H87" s="168">
        <f>Prem!H87</f>
        <v>0</v>
      </c>
      <c r="I87" s="168">
        <f>Prem!I87</f>
        <v>1.19</v>
      </c>
      <c r="J87" s="168">
        <f>Prem!J87</f>
        <v>0</v>
      </c>
      <c r="K87" s="168">
        <f>Prem!K87</f>
        <v>0</v>
      </c>
      <c r="L87" s="168">
        <f>Prem!L87</f>
        <v>1190</v>
      </c>
      <c r="M87" s="168">
        <f>Prem!M87</f>
        <v>0</v>
      </c>
      <c r="N87" s="168">
        <f ca="1">IFERROR(IF(B87&lt;=Age+B,MAX(MIN(A87,PPP)*$E$10,CV!Z88+L88)*K87,""),"")</f>
        <v>0</v>
      </c>
      <c r="O87" s="171" cm="1">
        <f t="array" ref="O87">IFERROR(IF(B87&lt;=Age+B,VLOOKUP(IF(PPP&lt;20,PPP,"20+"),Exp_load_CV,_xlfn.IFS(A87=1,1,A87=2,2,A87=3,3,AND(A87&gt;=4,A87&lt;=10),4,AND(A87&gt;=11,A87&lt;=PPP),5,A87&gt;PPP,6)+1,FALSE),""),"")</f>
        <v>0</v>
      </c>
      <c r="P87" s="168">
        <f t="shared" ca="1" si="36"/>
        <v>0</v>
      </c>
      <c r="Q87" s="168">
        <f t="shared" ca="1" si="37"/>
        <v>12.590722776127576</v>
      </c>
      <c r="R87" s="168">
        <f t="shared" ca="1" si="38"/>
        <v>0</v>
      </c>
      <c r="S87" s="168">
        <f t="shared" ca="1" si="39"/>
        <v>0</v>
      </c>
      <c r="T87" s="168">
        <f t="shared" ca="1" si="40"/>
        <v>0</v>
      </c>
      <c r="U87" s="168">
        <f t="shared" ca="1" si="41"/>
        <v>0</v>
      </c>
      <c r="V87" s="168">
        <f t="shared" ca="1" si="42"/>
        <v>12.590722776127576</v>
      </c>
      <c r="W87" s="168">
        <f t="shared" ca="1" si="43"/>
        <v>0</v>
      </c>
      <c r="X87" s="168">
        <f>IFERROR(IF(B87&lt;=Age+B,IF(B87&lt;=Begin_Age,(SUM(U87:$U$124)+SUM(V87:$V$124)-SUM(W87:$W$124))/G87,0),""),"")</f>
        <v>0</v>
      </c>
      <c r="Y87" s="168">
        <f t="shared" si="44"/>
        <v>1</v>
      </c>
      <c r="Z87" s="168">
        <f t="shared" si="45"/>
        <v>0</v>
      </c>
    </row>
    <row r="88" spans="1:26" x14ac:dyDescent="0.4">
      <c r="A88" s="168">
        <f t="shared" si="31"/>
        <v>71</v>
      </c>
      <c r="B88" s="168">
        <f t="shared" si="46"/>
        <v>90</v>
      </c>
      <c r="C88" s="168">
        <f ca="1">IFERROR(MIN(VLOOKUP(B88,INDIRECT("mort_alb_"&amp;Cover!$J$4),IF(Sex="M",2,3))/1000,1)*Mort_Int,"")</f>
        <v>8.3211199999999999E-2</v>
      </c>
      <c r="D88" s="168">
        <f t="shared" ca="1" si="32"/>
        <v>4.0970056573779168E-2</v>
      </c>
      <c r="E88" s="168">
        <f t="shared" ca="1" si="33"/>
        <v>0.49236228505031976</v>
      </c>
      <c r="F88" s="168">
        <f t="shared" ca="1" si="34"/>
        <v>7.4624963714748466E-4</v>
      </c>
      <c r="G88" s="168">
        <f t="shared" ca="1" si="35"/>
        <v>9.3717056215884588E-3</v>
      </c>
      <c r="H88" s="168">
        <f>Prem!H88</f>
        <v>0</v>
      </c>
      <c r="I88" s="168">
        <f>Prem!I88</f>
        <v>1.19</v>
      </c>
      <c r="J88" s="168">
        <f>Prem!J88</f>
        <v>0</v>
      </c>
      <c r="K88" s="168">
        <f>Prem!K88</f>
        <v>0</v>
      </c>
      <c r="L88" s="168">
        <f>Prem!L88</f>
        <v>1190</v>
      </c>
      <c r="M88" s="168">
        <f>Prem!M88</f>
        <v>0</v>
      </c>
      <c r="N88" s="168">
        <f ca="1">IFERROR(IF(B88&lt;=Age+B,MAX(MIN(A88,PPP)*$E$10,CV!Z89+L89)*K88,""),"")</f>
        <v>0</v>
      </c>
      <c r="O88" s="171" cm="1">
        <f t="array" ref="O88">IFERROR(IF(B88&lt;=Age+B,VLOOKUP(IF(PPP&lt;20,PPP,"20+"),Exp_load_CV,_xlfn.IFS(A88=1,1,A88=2,2,A88=3,3,AND(A88&gt;=4,A88&lt;=10),4,AND(A88&gt;=11,A88&lt;=PPP),5,A88&gt;PPP,6)+1,FALSE),""),"")</f>
        <v>0</v>
      </c>
      <c r="P88" s="168">
        <f t="shared" ca="1" si="36"/>
        <v>0</v>
      </c>
      <c r="Q88" s="168">
        <f t="shared" ca="1" si="37"/>
        <v>11.152329689690266</v>
      </c>
      <c r="R88" s="168">
        <f t="shared" ca="1" si="38"/>
        <v>0</v>
      </c>
      <c r="S88" s="168">
        <f t="shared" ca="1" si="39"/>
        <v>0</v>
      </c>
      <c r="T88" s="168">
        <f t="shared" ca="1" si="40"/>
        <v>0</v>
      </c>
      <c r="U88" s="168">
        <f t="shared" ca="1" si="41"/>
        <v>0</v>
      </c>
      <c r="V88" s="168">
        <f t="shared" ca="1" si="42"/>
        <v>11.152329689690266</v>
      </c>
      <c r="W88" s="168">
        <f t="shared" ca="1" si="43"/>
        <v>0</v>
      </c>
      <c r="X88" s="168">
        <f>IFERROR(IF(B88&lt;=Age+B,IF(B88&lt;=Begin_Age,(SUM(U88:$U$124)+SUM(V88:$V$124)-SUM(W88:$W$124))/G88,0),""),"")</f>
        <v>0</v>
      </c>
      <c r="Y88" s="168">
        <f t="shared" si="44"/>
        <v>1</v>
      </c>
      <c r="Z88" s="168">
        <f t="shared" si="45"/>
        <v>0</v>
      </c>
    </row>
    <row r="89" spans="1:26" x14ac:dyDescent="0.4">
      <c r="A89" s="168">
        <f t="shared" si="31"/>
        <v>72</v>
      </c>
      <c r="B89" s="168">
        <f t="shared" si="46"/>
        <v>91</v>
      </c>
      <c r="C89" s="168">
        <f ca="1">IFERROR(MIN(VLOOKUP(B89,INDIRECT("mort_alb_"&amp;Cover!$J$4),IF(Sex="M",2,3))/1000,1)*Mort_Int,"")</f>
        <v>9.3017600000000006E-2</v>
      </c>
      <c r="D89" s="168">
        <f t="shared" ca="1" si="32"/>
        <v>4.1987421751539467E-2</v>
      </c>
      <c r="E89" s="168">
        <f t="shared" ca="1" si="33"/>
        <v>0.45139222847654059</v>
      </c>
      <c r="F89" s="168">
        <f t="shared" ca="1" si="34"/>
        <v>7.3184731926207011E-4</v>
      </c>
      <c r="G89" s="168">
        <f t="shared" ca="1" si="35"/>
        <v>8.2218897136548674E-3</v>
      </c>
      <c r="H89" s="168">
        <f>Prem!H89</f>
        <v>0</v>
      </c>
      <c r="I89" s="168">
        <f>Prem!I89</f>
        <v>1.19</v>
      </c>
      <c r="J89" s="168">
        <f>Prem!J89</f>
        <v>0</v>
      </c>
      <c r="K89" s="168">
        <f>Prem!K89</f>
        <v>0</v>
      </c>
      <c r="L89" s="168">
        <f>Prem!L89</f>
        <v>1190</v>
      </c>
      <c r="M89" s="168">
        <f>Prem!M89</f>
        <v>0</v>
      </c>
      <c r="N89" s="168">
        <f ca="1">IFERROR(IF(B89&lt;=Age+B,MAX(MIN(A89,PPP)*$E$10,CV!Z90+L90)*K89,""),"")</f>
        <v>0</v>
      </c>
      <c r="O89" s="171" cm="1">
        <f t="array" ref="O89">IFERROR(IF(B89&lt;=Age+B,VLOOKUP(IF(PPP&lt;20,PPP,"20+"),Exp_load_CV,_xlfn.IFS(A89=1,1,A89=2,2,A89=3,3,AND(A89&gt;=4,A89&lt;=10),4,AND(A89&gt;=11,A89&lt;=PPP),5,A89&gt;PPP,6)+1,FALSE),""),"")</f>
        <v>0</v>
      </c>
      <c r="P89" s="168">
        <f t="shared" ca="1" si="36"/>
        <v>0</v>
      </c>
      <c r="Q89" s="168">
        <f t="shared" ca="1" si="37"/>
        <v>9.7840487592492931</v>
      </c>
      <c r="R89" s="168">
        <f t="shared" ca="1" si="38"/>
        <v>0</v>
      </c>
      <c r="S89" s="168">
        <f t="shared" ca="1" si="39"/>
        <v>0</v>
      </c>
      <c r="T89" s="168">
        <f t="shared" ca="1" si="40"/>
        <v>0</v>
      </c>
      <c r="U89" s="168">
        <f t="shared" ca="1" si="41"/>
        <v>0</v>
      </c>
      <c r="V89" s="168">
        <f t="shared" ca="1" si="42"/>
        <v>9.7840487592492931</v>
      </c>
      <c r="W89" s="168">
        <f t="shared" ca="1" si="43"/>
        <v>0</v>
      </c>
      <c r="X89" s="168">
        <f>IFERROR(IF(B89&lt;=Age+B,IF(B89&lt;=Begin_Age,(SUM(U89:$U$124)+SUM(V89:$V$124)-SUM(W89:$W$124))/G89,0),""),"")</f>
        <v>0</v>
      </c>
      <c r="Y89" s="168">
        <f t="shared" si="44"/>
        <v>1</v>
      </c>
      <c r="Z89" s="168">
        <f t="shared" si="45"/>
        <v>0</v>
      </c>
    </row>
    <row r="90" spans="1:26" x14ac:dyDescent="0.4">
      <c r="A90" s="168">
        <f t="shared" si="31"/>
        <v>73</v>
      </c>
      <c r="B90" s="168">
        <f t="shared" si="46"/>
        <v>92</v>
      </c>
      <c r="C90" s="168">
        <f ca="1">IFERROR(MIN(VLOOKUP(B90,INDIRECT("mort_alb_"&amp;Cover!$J$4),IF(Sex="M",2,3))/1000,1)*Mort_Int,"")</f>
        <v>0.1038944</v>
      </c>
      <c r="D90" s="168">
        <f t="shared" ca="1" si="32"/>
        <v>4.2534866751809959E-2</v>
      </c>
      <c r="E90" s="168">
        <f t="shared" ca="1" si="33"/>
        <v>0.40940480672500112</v>
      </c>
      <c r="F90" s="168">
        <f t="shared" ca="1" si="34"/>
        <v>7.094635130370805E-4</v>
      </c>
      <c r="G90" s="168">
        <f t="shared" ca="1" si="35"/>
        <v>7.1359897272976142E-3</v>
      </c>
      <c r="H90" s="168">
        <f>Prem!H90</f>
        <v>0</v>
      </c>
      <c r="I90" s="168">
        <f>Prem!I90</f>
        <v>1.19</v>
      </c>
      <c r="J90" s="168">
        <f>Prem!J90</f>
        <v>0</v>
      </c>
      <c r="K90" s="168">
        <f>Prem!K90</f>
        <v>0</v>
      </c>
      <c r="L90" s="168">
        <f>Prem!L90</f>
        <v>1190</v>
      </c>
      <c r="M90" s="168">
        <f>Prem!M90</f>
        <v>0</v>
      </c>
      <c r="N90" s="168">
        <f ca="1">IFERROR(IF(B90&lt;=Age+B,MAX(MIN(A90,PPP)*$E$10,CV!Z91+L91)*K90,""),"")</f>
        <v>0</v>
      </c>
      <c r="O90" s="171" cm="1">
        <f t="array" ref="O90">IFERROR(IF(B90&lt;=Age+B,VLOOKUP(IF(PPP&lt;20,PPP,"20+"),Exp_load_CV,_xlfn.IFS(A90=1,1,A90=2,2,A90=3,3,AND(A90&gt;=4,A90&lt;=10),4,AND(A90&gt;=11,A90&lt;=PPP),5,A90&gt;PPP,6)+1,FALSE),""),"")</f>
        <v>0</v>
      </c>
      <c r="P90" s="168">
        <f t="shared" ca="1" si="36"/>
        <v>0</v>
      </c>
      <c r="Q90" s="168">
        <f t="shared" ca="1" si="37"/>
        <v>8.4918277754841611</v>
      </c>
      <c r="R90" s="168">
        <f t="shared" ca="1" si="38"/>
        <v>0</v>
      </c>
      <c r="S90" s="168">
        <f t="shared" ca="1" si="39"/>
        <v>0</v>
      </c>
      <c r="T90" s="168">
        <f t="shared" ca="1" si="40"/>
        <v>0</v>
      </c>
      <c r="U90" s="168">
        <f t="shared" ca="1" si="41"/>
        <v>0</v>
      </c>
      <c r="V90" s="168">
        <f t="shared" ca="1" si="42"/>
        <v>8.4918277754841611</v>
      </c>
      <c r="W90" s="168">
        <f t="shared" ca="1" si="43"/>
        <v>0</v>
      </c>
      <c r="X90" s="168">
        <f>IFERROR(IF(B90&lt;=Age+B,IF(B90&lt;=Begin_Age,(SUM(U90:$U$124)+SUM(V90:$V$124)-SUM(W90:$W$124))/G90,0),""),"")</f>
        <v>0</v>
      </c>
      <c r="Y90" s="168">
        <f t="shared" si="44"/>
        <v>1</v>
      </c>
      <c r="Z90" s="168">
        <f t="shared" si="45"/>
        <v>0</v>
      </c>
    </row>
    <row r="91" spans="1:26" x14ac:dyDescent="0.4">
      <c r="A91" s="168">
        <f t="shared" si="31"/>
        <v>74</v>
      </c>
      <c r="B91" s="168">
        <f t="shared" si="46"/>
        <v>93</v>
      </c>
      <c r="C91" s="168">
        <f ca="1">IFERROR(MIN(VLOOKUP(B91,INDIRECT("mort_alb_"&amp;Cover!$J$4),IF(Sex="M",2,3))/1000,1)*Mort_Int,"")</f>
        <v>0.11593520000000002</v>
      </c>
      <c r="D91" s="168">
        <f t="shared" ca="1" si="32"/>
        <v>4.2533139864779919E-2</v>
      </c>
      <c r="E91" s="168">
        <f t="shared" ca="1" si="33"/>
        <v>0.36686993997319117</v>
      </c>
      <c r="F91" s="168">
        <f t="shared" ca="1" si="34"/>
        <v>6.7888488927734115E-4</v>
      </c>
      <c r="G91" s="168">
        <f t="shared" ca="1" si="35"/>
        <v>6.1192347905969988E-3</v>
      </c>
      <c r="H91" s="168">
        <f>Prem!H91</f>
        <v>0</v>
      </c>
      <c r="I91" s="168">
        <f>Prem!I91</f>
        <v>1.19</v>
      </c>
      <c r="J91" s="168">
        <f>Prem!J91</f>
        <v>0</v>
      </c>
      <c r="K91" s="168">
        <f>Prem!K91</f>
        <v>0</v>
      </c>
      <c r="L91" s="168">
        <f>Prem!L91</f>
        <v>1190</v>
      </c>
      <c r="M91" s="168">
        <f>Prem!M91</f>
        <v>0</v>
      </c>
      <c r="N91" s="168">
        <f ca="1">IFERROR(IF(B91&lt;=Age+B,MAX(MIN(A91,PPP)*$E$10,CV!Z92+L92)*K91,""),"")</f>
        <v>0</v>
      </c>
      <c r="O91" s="171" cm="1">
        <f t="array" ref="O91">IFERROR(IF(B91&lt;=Age+B,VLOOKUP(IF(PPP&lt;20,PPP,"20+"),Exp_load_CV,_xlfn.IFS(A91=1,1,A91=2,2,A91=3,3,AND(A91&gt;=4,A91&lt;=10),4,AND(A91&gt;=11,A91&lt;=PPP),5,A91&gt;PPP,6)+1,FALSE),""),"")</f>
        <v>0</v>
      </c>
      <c r="P91" s="168">
        <f t="shared" ca="1" si="36"/>
        <v>0</v>
      </c>
      <c r="Q91" s="168">
        <f t="shared" ca="1" si="37"/>
        <v>7.2818894008104289</v>
      </c>
      <c r="R91" s="168">
        <f t="shared" ca="1" si="38"/>
        <v>0</v>
      </c>
      <c r="S91" s="168">
        <f t="shared" ca="1" si="39"/>
        <v>0</v>
      </c>
      <c r="T91" s="168">
        <f t="shared" ca="1" si="40"/>
        <v>0</v>
      </c>
      <c r="U91" s="168">
        <f t="shared" ca="1" si="41"/>
        <v>0</v>
      </c>
      <c r="V91" s="168">
        <f t="shared" ca="1" si="42"/>
        <v>7.2818894008104289</v>
      </c>
      <c r="W91" s="168">
        <f t="shared" ca="1" si="43"/>
        <v>0</v>
      </c>
      <c r="X91" s="168">
        <f>IFERROR(IF(B91&lt;=Age+B,IF(B91&lt;=Begin_Age,(SUM(U91:$U$124)+SUM(V91:$V$124)-SUM(W91:$W$124))/G91,0),""),"")</f>
        <v>0</v>
      </c>
      <c r="Y91" s="168">
        <f t="shared" si="44"/>
        <v>1</v>
      </c>
      <c r="Z91" s="168">
        <f t="shared" si="45"/>
        <v>0</v>
      </c>
    </row>
    <row r="92" spans="1:26" x14ac:dyDescent="0.4">
      <c r="A92" s="168">
        <f t="shared" si="31"/>
        <v>75</v>
      </c>
      <c r="B92" s="168">
        <f t="shared" si="46"/>
        <v>94</v>
      </c>
      <c r="C92" s="168">
        <f ca="1">IFERROR(MIN(VLOOKUP(B92,INDIRECT("mort_alb_"&amp;Cover!$J$4),IF(Sex="M",2,3))/1000,1)*Mort_Int,"")</f>
        <v>0.12923760000000001</v>
      </c>
      <c r="D92" s="168">
        <f t="shared" ca="1" si="32"/>
        <v>4.1916509637690814E-2</v>
      </c>
      <c r="E92" s="168">
        <f t="shared" ca="1" si="33"/>
        <v>0.32433680010841126</v>
      </c>
      <c r="F92" s="168">
        <f t="shared" ca="1" si="34"/>
        <v>6.4023220987367358E-4</v>
      </c>
      <c r="G92" s="168">
        <f t="shared" ca="1" si="35"/>
        <v>5.1768421830642869E-3</v>
      </c>
      <c r="H92" s="168">
        <f>Prem!H92</f>
        <v>0</v>
      </c>
      <c r="I92" s="168">
        <f>Prem!I92</f>
        <v>1.19</v>
      </c>
      <c r="J92" s="168">
        <f>Prem!J92</f>
        <v>0</v>
      </c>
      <c r="K92" s="168">
        <f>Prem!K92</f>
        <v>0</v>
      </c>
      <c r="L92" s="168">
        <f>Prem!L92</f>
        <v>1190</v>
      </c>
      <c r="M92" s="168">
        <f>Prem!M92</f>
        <v>0</v>
      </c>
      <c r="N92" s="168">
        <f ca="1">IFERROR(IF(B92&lt;=Age+B,MAX(MIN(A92,PPP)*$E$10,CV!Z93+L93)*K92,""),"")</f>
        <v>0</v>
      </c>
      <c r="O92" s="171" cm="1">
        <f t="array" ref="O92">IFERROR(IF(B92&lt;=Age+B,VLOOKUP(IF(PPP&lt;20,PPP,"20+"),Exp_load_CV,_xlfn.IFS(A92=1,1,A92=2,2,A92=3,3,AND(A92&gt;=4,A92&lt;=10),4,AND(A92&gt;=11,A92&lt;=PPP),5,A92&gt;PPP,6)+1,FALSE),""),"")</f>
        <v>0</v>
      </c>
      <c r="P92" s="168">
        <f t="shared" ca="1" si="36"/>
        <v>0</v>
      </c>
      <c r="Q92" s="168">
        <f t="shared" ca="1" si="37"/>
        <v>6.1604421978465016</v>
      </c>
      <c r="R92" s="168">
        <f t="shared" ca="1" si="38"/>
        <v>0</v>
      </c>
      <c r="S92" s="168">
        <f t="shared" ca="1" si="39"/>
        <v>0</v>
      </c>
      <c r="T92" s="168">
        <f t="shared" ca="1" si="40"/>
        <v>0</v>
      </c>
      <c r="U92" s="168">
        <f t="shared" ca="1" si="41"/>
        <v>0</v>
      </c>
      <c r="V92" s="168">
        <f t="shared" ca="1" si="42"/>
        <v>6.1604421978465016</v>
      </c>
      <c r="W92" s="168">
        <f t="shared" ca="1" si="43"/>
        <v>0</v>
      </c>
      <c r="X92" s="168">
        <f>IFERROR(IF(B92&lt;=Age+B,IF(B92&lt;=Begin_Age,(SUM(U92:$U$124)+SUM(V92:$V$124)-SUM(W92:$W$124))/G92,0),""),"")</f>
        <v>0</v>
      </c>
      <c r="Y92" s="168">
        <f t="shared" si="44"/>
        <v>1</v>
      </c>
      <c r="Z92" s="168">
        <f t="shared" si="45"/>
        <v>0</v>
      </c>
    </row>
    <row r="93" spans="1:26" x14ac:dyDescent="0.4">
      <c r="A93" s="168">
        <f t="shared" si="31"/>
        <v>76</v>
      </c>
      <c r="B93" s="168">
        <f t="shared" si="46"/>
        <v>95</v>
      </c>
      <c r="C93" s="168">
        <f ca="1">IFERROR(MIN(VLOOKUP(B93,INDIRECT("mort_alb_"&amp;Cover!$J$4),IF(Sex="M",2,3))/1000,1)*Mort_Int,"")</f>
        <v>0.1438992</v>
      </c>
      <c r="D93" s="168">
        <f t="shared" ca="1" si="32"/>
        <v>4.0640053862504293E-2</v>
      </c>
      <c r="E93" s="168">
        <f t="shared" ca="1" si="33"/>
        <v>0.28242029047072043</v>
      </c>
      <c r="F93" s="168">
        <f t="shared" ca="1" si="34"/>
        <v>5.9400539843636668E-4</v>
      </c>
      <c r="G93" s="168">
        <f t="shared" ca="1" si="35"/>
        <v>4.3136837547811443E-3</v>
      </c>
      <c r="H93" s="168">
        <f>Prem!H93</f>
        <v>0</v>
      </c>
      <c r="I93" s="168">
        <f>Prem!I93</f>
        <v>1.19</v>
      </c>
      <c r="J93" s="168">
        <f>Prem!J93</f>
        <v>0</v>
      </c>
      <c r="K93" s="168">
        <f>Prem!K93</f>
        <v>0</v>
      </c>
      <c r="L93" s="168">
        <f>Prem!L93</f>
        <v>1190</v>
      </c>
      <c r="M93" s="168">
        <f>Prem!M93</f>
        <v>0</v>
      </c>
      <c r="N93" s="168">
        <f ca="1">IFERROR(IF(B93&lt;=Age+B,MAX(MIN(A93,PPP)*$E$10,CV!Z94+L94)*K93,""),"")</f>
        <v>0</v>
      </c>
      <c r="O93" s="171" cm="1">
        <f t="array" ref="O93">IFERROR(IF(B93&lt;=Age+B,VLOOKUP(IF(PPP&lt;20,PPP,"20+"),Exp_load_CV,_xlfn.IFS(A93=1,1,A93=2,2,A93=3,3,AND(A93&gt;=4,A93&lt;=10),4,AND(A93&gt;=11,A93&lt;=PPP),5,A93&gt;PPP,6)+1,FALSE),""),"")</f>
        <v>0</v>
      </c>
      <c r="P93" s="168">
        <f t="shared" ca="1" si="36"/>
        <v>0</v>
      </c>
      <c r="Q93" s="168">
        <f t="shared" ca="1" si="37"/>
        <v>5.1332836681895619</v>
      </c>
      <c r="R93" s="168">
        <f t="shared" ca="1" si="38"/>
        <v>0</v>
      </c>
      <c r="S93" s="168">
        <f t="shared" ca="1" si="39"/>
        <v>0</v>
      </c>
      <c r="T93" s="168">
        <f t="shared" ca="1" si="40"/>
        <v>0</v>
      </c>
      <c r="U93" s="168">
        <f t="shared" ca="1" si="41"/>
        <v>0</v>
      </c>
      <c r="V93" s="168">
        <f t="shared" ca="1" si="42"/>
        <v>5.1332836681895619</v>
      </c>
      <c r="W93" s="168">
        <f t="shared" ca="1" si="43"/>
        <v>0</v>
      </c>
      <c r="X93" s="168">
        <f>IFERROR(IF(B93&lt;=Age+B,IF(B93&lt;=Begin_Age,(SUM(U93:$U$124)+SUM(V93:$V$124)-SUM(W93:$W$124))/G93,0),""),"")</f>
        <v>0</v>
      </c>
      <c r="Y93" s="168">
        <f t="shared" si="44"/>
        <v>1</v>
      </c>
      <c r="Z93" s="168">
        <f t="shared" si="45"/>
        <v>0</v>
      </c>
    </row>
    <row r="94" spans="1:26" x14ac:dyDescent="0.4">
      <c r="A94" s="168">
        <f t="shared" si="31"/>
        <v>77</v>
      </c>
      <c r="B94" s="168">
        <f t="shared" si="46"/>
        <v>96</v>
      </c>
      <c r="C94" s="168">
        <f ca="1">IFERROR(MIN(VLOOKUP(B94,INDIRECT("mort_alb_"&amp;Cover!$J$4),IF(Sex="M",2,3))/1000,1)*Mort_Int,"")</f>
        <v>0.16001679999999999</v>
      </c>
      <c r="D94" s="168">
        <f t="shared" ca="1" si="32"/>
        <v>3.8688899765289594E-2</v>
      </c>
      <c r="E94" s="168">
        <f t="shared" ca="1" si="33"/>
        <v>0.24178023660821613</v>
      </c>
      <c r="F94" s="168">
        <f t="shared" ca="1" si="34"/>
        <v>5.4113572461686173E-4</v>
      </c>
      <c r="G94" s="168">
        <f t="shared" ca="1" si="35"/>
        <v>3.5339216396317163E-3</v>
      </c>
      <c r="H94" s="168">
        <f>Prem!H94</f>
        <v>0</v>
      </c>
      <c r="I94" s="168">
        <f>Prem!I94</f>
        <v>1.19</v>
      </c>
      <c r="J94" s="168">
        <f>Prem!J94</f>
        <v>0</v>
      </c>
      <c r="K94" s="168">
        <f>Prem!K94</f>
        <v>0</v>
      </c>
      <c r="L94" s="168">
        <f>Prem!L94</f>
        <v>1190</v>
      </c>
      <c r="M94" s="168">
        <f>Prem!M94</f>
        <v>0</v>
      </c>
      <c r="N94" s="168">
        <f ca="1">IFERROR(IF(B94&lt;=Age+B,MAX(MIN(A94,PPP)*$E$10,CV!Z95+L95)*K94,""),"")</f>
        <v>0</v>
      </c>
      <c r="O94" s="171" cm="1">
        <f t="array" ref="O94">IFERROR(IF(B94&lt;=Age+B,VLOOKUP(IF(PPP&lt;20,PPP,"20+"),Exp_load_CV,_xlfn.IFS(A94=1,1,A94=2,2,A94=3,3,AND(A94&gt;=4,A94&lt;=10),4,AND(A94&gt;=11,A94&lt;=PPP),5,A94&gt;PPP,6)+1,FALSE),""),"")</f>
        <v>0</v>
      </c>
      <c r="P94" s="168">
        <f t="shared" ca="1" si="36"/>
        <v>0</v>
      </c>
      <c r="Q94" s="168">
        <f t="shared" ca="1" si="37"/>
        <v>4.2053667511617423</v>
      </c>
      <c r="R94" s="168">
        <f t="shared" ca="1" si="38"/>
        <v>0</v>
      </c>
      <c r="S94" s="168">
        <f t="shared" ca="1" si="39"/>
        <v>0</v>
      </c>
      <c r="T94" s="168">
        <f t="shared" ca="1" si="40"/>
        <v>0</v>
      </c>
      <c r="U94" s="168">
        <f t="shared" ca="1" si="41"/>
        <v>0</v>
      </c>
      <c r="V94" s="168">
        <f t="shared" ca="1" si="42"/>
        <v>4.2053667511617423</v>
      </c>
      <c r="W94" s="168">
        <f t="shared" ca="1" si="43"/>
        <v>0</v>
      </c>
      <c r="X94" s="168">
        <f>IFERROR(IF(B94&lt;=Age+B,IF(B94&lt;=Begin_Age,(SUM(U94:$U$124)+SUM(V94:$V$124)-SUM(W94:$W$124))/G94,0),""),"")</f>
        <v>0</v>
      </c>
      <c r="Y94" s="168">
        <f t="shared" si="44"/>
        <v>1</v>
      </c>
      <c r="Z94" s="168">
        <f t="shared" si="45"/>
        <v>0</v>
      </c>
    </row>
    <row r="95" spans="1:26" x14ac:dyDescent="0.4">
      <c r="A95" s="168">
        <f t="shared" si="31"/>
        <v>78</v>
      </c>
      <c r="B95" s="168">
        <f t="shared" si="46"/>
        <v>97</v>
      </c>
      <c r="C95" s="168">
        <f ca="1">IFERROR(MIN(VLOOKUP(B95,INDIRECT("mort_alb_"&amp;Cover!$J$4),IF(Sex="M",2,3))/1000,1)*Mort_Int,"")</f>
        <v>0.17768320000000004</v>
      </c>
      <c r="D95" s="168">
        <f t="shared" ca="1" si="32"/>
        <v>3.6085918622529092E-2</v>
      </c>
      <c r="E95" s="168">
        <f t="shared" ca="1" si="33"/>
        <v>0.20309133684292652</v>
      </c>
      <c r="F95" s="168">
        <f t="shared" ca="1" si="34"/>
        <v>4.8299351715526368E-4</v>
      </c>
      <c r="G95" s="168">
        <f t="shared" ca="1" si="35"/>
        <v>2.8406074712029636E-3</v>
      </c>
      <c r="H95" s="168">
        <f>Prem!H95</f>
        <v>0</v>
      </c>
      <c r="I95" s="168">
        <f>Prem!I95</f>
        <v>1.19</v>
      </c>
      <c r="J95" s="168">
        <f>Prem!J95</f>
        <v>0</v>
      </c>
      <c r="K95" s="168">
        <f>Prem!K95</f>
        <v>0</v>
      </c>
      <c r="L95" s="168">
        <f>Prem!L95</f>
        <v>1190</v>
      </c>
      <c r="M95" s="168">
        <f>Prem!M95</f>
        <v>0</v>
      </c>
      <c r="N95" s="168">
        <f ca="1">IFERROR(IF(B95&lt;=Age+B,MAX(MIN(A95,PPP)*$E$10,CV!Z96+L96)*K95,""),"")</f>
        <v>0</v>
      </c>
      <c r="O95" s="171" cm="1">
        <f t="array" ref="O95">IFERROR(IF(B95&lt;=Age+B,VLOOKUP(IF(PPP&lt;20,PPP,"20+"),Exp_load_CV,_xlfn.IFS(A95=1,1,A95=2,2,A95=3,3,AND(A95&gt;=4,A95&lt;=10),4,AND(A95&gt;=11,A95&lt;=PPP),5,A95&gt;PPP,6)+1,FALSE),""),"")</f>
        <v>0</v>
      </c>
      <c r="P95" s="168">
        <f t="shared" ca="1" si="36"/>
        <v>0</v>
      </c>
      <c r="Q95" s="168">
        <f t="shared" ca="1" si="37"/>
        <v>3.3803228907315268</v>
      </c>
      <c r="R95" s="168">
        <f t="shared" ca="1" si="38"/>
        <v>0</v>
      </c>
      <c r="S95" s="168">
        <f t="shared" ca="1" si="39"/>
        <v>0</v>
      </c>
      <c r="T95" s="168">
        <f t="shared" ca="1" si="40"/>
        <v>0</v>
      </c>
      <c r="U95" s="168">
        <f t="shared" ca="1" si="41"/>
        <v>0</v>
      </c>
      <c r="V95" s="168">
        <f t="shared" ca="1" si="42"/>
        <v>3.3803228907315268</v>
      </c>
      <c r="W95" s="168">
        <f t="shared" ca="1" si="43"/>
        <v>0</v>
      </c>
      <c r="X95" s="168">
        <f>IFERROR(IF(B95&lt;=Age+B,IF(B95&lt;=Begin_Age,(SUM(U95:$U$124)+SUM(V95:$V$124)-SUM(W95:$W$124))/G95,0),""),"")</f>
        <v>0</v>
      </c>
      <c r="Y95" s="168">
        <f t="shared" si="44"/>
        <v>1</v>
      </c>
      <c r="Z95" s="168">
        <f t="shared" si="45"/>
        <v>0</v>
      </c>
    </row>
    <row r="96" spans="1:26" x14ac:dyDescent="0.4">
      <c r="A96" s="168">
        <f t="shared" si="31"/>
        <v>79</v>
      </c>
      <c r="B96" s="168">
        <f t="shared" si="46"/>
        <v>98</v>
      </c>
      <c r="C96" s="168">
        <f ca="1">IFERROR(MIN(VLOOKUP(B96,INDIRECT("mort_alb_"&amp;Cover!$J$4),IF(Sex="M",2,3))/1000,1)*Mort_Int,"")</f>
        <v>0.19698320000000002</v>
      </c>
      <c r="D96" s="168">
        <f t="shared" ca="1" si="32"/>
        <v>3.2897261698392195E-2</v>
      </c>
      <c r="E96" s="168">
        <f t="shared" ca="1" si="33"/>
        <v>0.16700541822039744</v>
      </c>
      <c r="F96" s="168">
        <f t="shared" ca="1" si="34"/>
        <v>4.2135387802155305E-4</v>
      </c>
      <c r="G96" s="168">
        <f t="shared" ca="1" si="35"/>
        <v>2.2352911442829792E-3</v>
      </c>
      <c r="H96" s="168">
        <f>Prem!H96</f>
        <v>0</v>
      </c>
      <c r="I96" s="168">
        <f>Prem!I96</f>
        <v>1.19</v>
      </c>
      <c r="J96" s="168">
        <f>Prem!J96</f>
        <v>0</v>
      </c>
      <c r="K96" s="168">
        <f>Prem!K96</f>
        <v>0</v>
      </c>
      <c r="L96" s="168">
        <f>Prem!L96</f>
        <v>1190</v>
      </c>
      <c r="M96" s="168">
        <f>Prem!M96</f>
        <v>0</v>
      </c>
      <c r="N96" s="168">
        <f ca="1">IFERROR(IF(B96&lt;=Age+B,MAX(MIN(A96,PPP)*$E$10,CV!Z97+L97)*K96,""),"")</f>
        <v>0</v>
      </c>
      <c r="O96" s="171" cm="1">
        <f t="array" ref="O96">IFERROR(IF(B96&lt;=Age+B,VLOOKUP(IF(PPP&lt;20,PPP,"20+"),Exp_load_CV,_xlfn.IFS(A96=1,1,A96=2,2,A96=3,3,AND(A96&gt;=4,A96&lt;=10),4,AND(A96&gt;=11,A96&lt;=PPP),5,A96&gt;PPP,6)+1,FALSE),""),"")</f>
        <v>0</v>
      </c>
      <c r="P96" s="168">
        <f t="shared" ca="1" si="36"/>
        <v>0</v>
      </c>
      <c r="Q96" s="168">
        <f t="shared" ca="1" si="37"/>
        <v>2.6599964616967453</v>
      </c>
      <c r="R96" s="168">
        <f t="shared" ca="1" si="38"/>
        <v>0</v>
      </c>
      <c r="S96" s="168">
        <f t="shared" ca="1" si="39"/>
        <v>0</v>
      </c>
      <c r="T96" s="168">
        <f t="shared" ca="1" si="40"/>
        <v>0</v>
      </c>
      <c r="U96" s="168">
        <f t="shared" ca="1" si="41"/>
        <v>0</v>
      </c>
      <c r="V96" s="168">
        <f t="shared" ca="1" si="42"/>
        <v>2.6599964616967453</v>
      </c>
      <c r="W96" s="168">
        <f t="shared" ca="1" si="43"/>
        <v>0</v>
      </c>
      <c r="X96" s="168">
        <f>IFERROR(IF(B96&lt;=Age+B,IF(B96&lt;=Begin_Age,(SUM(U96:$U$124)+SUM(V96:$V$124)-SUM(W96:$W$124))/G96,0),""),"")</f>
        <v>0</v>
      </c>
      <c r="Y96" s="168">
        <f t="shared" si="44"/>
        <v>1</v>
      </c>
      <c r="Z96" s="168">
        <f t="shared" si="45"/>
        <v>0</v>
      </c>
    </row>
    <row r="97" spans="1:26" x14ac:dyDescent="0.4">
      <c r="A97" s="168">
        <f t="shared" si="31"/>
        <v>80</v>
      </c>
      <c r="B97" s="168">
        <f t="shared" si="46"/>
        <v>99</v>
      </c>
      <c r="C97" s="168">
        <f ca="1">IFERROR(MIN(VLOOKUP(B97,INDIRECT("mort_alb_"&amp;Cover!$J$4),IF(Sex="M",2,3))/1000,1)*Mort_Int,"")</f>
        <v>0.21798880000000001</v>
      </c>
      <c r="D97" s="168">
        <f t="shared" ca="1" si="32"/>
        <v>2.92340761104441E-2</v>
      </c>
      <c r="E97" s="168">
        <f t="shared" ca="1" si="33"/>
        <v>0.13410815652200525</v>
      </c>
      <c r="F97" s="168">
        <f t="shared" ca="1" si="34"/>
        <v>3.5831115475064393E-4</v>
      </c>
      <c r="G97" s="168">
        <f t="shared" ca="1" si="35"/>
        <v>1.7176807098090489E-3</v>
      </c>
      <c r="H97" s="168">
        <f>Prem!H97</f>
        <v>0</v>
      </c>
      <c r="I97" s="168">
        <f>Prem!I97</f>
        <v>1.19</v>
      </c>
      <c r="J97" s="168">
        <f>Prem!J97</f>
        <v>0</v>
      </c>
      <c r="K97" s="168">
        <f>Prem!K97</f>
        <v>0</v>
      </c>
      <c r="L97" s="168">
        <f>Prem!L97</f>
        <v>1190</v>
      </c>
      <c r="M97" s="168">
        <f>Prem!M97</f>
        <v>0</v>
      </c>
      <c r="N97" s="168">
        <f ca="1">IFERROR(IF(B97&lt;=Age+B,MAX(MIN(A97,PPP)*$E$10,CV!Z98+L98)*K97,""),"")</f>
        <v>0</v>
      </c>
      <c r="O97" s="171" cm="1">
        <f t="array" ref="O97">IFERROR(IF(B97&lt;=Age+B,VLOOKUP(IF(PPP&lt;20,PPP,"20+"),Exp_load_CV,_xlfn.IFS(A97=1,1,A97=2,2,A97=3,3,AND(A97&gt;=4,A97&lt;=10),4,AND(A97&gt;=11,A97&lt;=PPP),5,A97&gt;PPP,6)+1,FALSE),""),"")</f>
        <v>0</v>
      </c>
      <c r="P97" s="168">
        <f t="shared" ca="1" si="36"/>
        <v>0</v>
      </c>
      <c r="Q97" s="168">
        <f t="shared" ca="1" si="37"/>
        <v>2.044040044672768</v>
      </c>
      <c r="R97" s="168">
        <f t="shared" ca="1" si="38"/>
        <v>0</v>
      </c>
      <c r="S97" s="168">
        <f t="shared" ca="1" si="39"/>
        <v>0</v>
      </c>
      <c r="T97" s="168">
        <f t="shared" ca="1" si="40"/>
        <v>0</v>
      </c>
      <c r="U97" s="168">
        <f t="shared" ca="1" si="41"/>
        <v>0</v>
      </c>
      <c r="V97" s="168">
        <f t="shared" ca="1" si="42"/>
        <v>2.044040044672768</v>
      </c>
      <c r="W97" s="168">
        <f t="shared" ca="1" si="43"/>
        <v>0</v>
      </c>
      <c r="X97" s="168">
        <f>IFERROR(IF(B97&lt;=Age+B,IF(B97&lt;=Begin_Age,(SUM(U97:$U$124)+SUM(V97:$V$124)-SUM(W97:$W$124))/G97,0),""),"")</f>
        <v>0</v>
      </c>
      <c r="Y97" s="168">
        <f t="shared" si="44"/>
        <v>1</v>
      </c>
      <c r="Z97" s="168">
        <f t="shared" si="45"/>
        <v>0</v>
      </c>
    </row>
    <row r="98" spans="1:26" x14ac:dyDescent="0.4">
      <c r="A98" s="168">
        <f t="shared" si="31"/>
        <v>81</v>
      </c>
      <c r="B98" s="168">
        <f t="shared" si="46"/>
        <v>100</v>
      </c>
      <c r="C98" s="168">
        <f ca="1">IFERROR(MIN(VLOOKUP(B98,INDIRECT("mort_alb_"&amp;Cover!$J$4),IF(Sex="M",2,3))/1000,1)*Mort_Int,"")</f>
        <v>0.2407552</v>
      </c>
      <c r="D98" s="168">
        <f t="shared" ca="1" si="32"/>
        <v>2.524898020430149E-2</v>
      </c>
      <c r="E98" s="168">
        <f t="shared" ca="1" si="33"/>
        <v>0.10487408041156115</v>
      </c>
      <c r="F98" s="168">
        <f t="shared" ca="1" si="34"/>
        <v>2.9614097826002834E-4</v>
      </c>
      <c r="G98" s="168">
        <f t="shared" ca="1" si="35"/>
        <v>1.2854024431527527E-3</v>
      </c>
      <c r="H98" s="168">
        <f>Prem!H98</f>
        <v>0</v>
      </c>
      <c r="I98" s="168">
        <f>Prem!I98</f>
        <v>1.19</v>
      </c>
      <c r="J98" s="168">
        <f>Prem!J98</f>
        <v>0</v>
      </c>
      <c r="K98" s="168">
        <f>Prem!K98</f>
        <v>0</v>
      </c>
      <c r="L98" s="168">
        <f>Prem!L98</f>
        <v>1190</v>
      </c>
      <c r="M98" s="168">
        <f>Prem!M98</f>
        <v>0</v>
      </c>
      <c r="N98" s="168">
        <f ca="1">IFERROR(IF(B98&lt;=Age+B,MAX(MIN(A98,PPP)*$E$10,CV!Z99+L99)*K98,""),"")</f>
        <v>0</v>
      </c>
      <c r="O98" s="171" cm="1">
        <f t="array" ref="O98">IFERROR(IF(B98&lt;=Age+B,VLOOKUP(IF(PPP&lt;20,PPP,"20+"),Exp_load_CV,_xlfn.IFS(A98=1,1,A98=2,2,A98=3,3,AND(A98&gt;=4,A98&lt;=10),4,AND(A98&gt;=11,A98&lt;=PPP),5,A98&gt;PPP,6)+1,FALSE),""),"")</f>
        <v>0</v>
      </c>
      <c r="P98" s="168">
        <f t="shared" ca="1" si="36"/>
        <v>0</v>
      </c>
      <c r="Q98" s="168">
        <f t="shared" ca="1" si="37"/>
        <v>1.5296289073517757</v>
      </c>
      <c r="R98" s="168">
        <f t="shared" ca="1" si="38"/>
        <v>0</v>
      </c>
      <c r="S98" s="168">
        <f t="shared" ca="1" si="39"/>
        <v>0</v>
      </c>
      <c r="T98" s="168">
        <f t="shared" ca="1" si="40"/>
        <v>0</v>
      </c>
      <c r="U98" s="168">
        <f t="shared" ca="1" si="41"/>
        <v>0</v>
      </c>
      <c r="V98" s="168">
        <f t="shared" ca="1" si="42"/>
        <v>1.5296289073517757</v>
      </c>
      <c r="W98" s="168">
        <f t="shared" ca="1" si="43"/>
        <v>0</v>
      </c>
      <c r="X98" s="168">
        <f>IFERROR(IF(B98&lt;=Age+B,IF(B98&lt;=Begin_Age,(SUM(U98:$U$124)+SUM(V98:$V$124)-SUM(W98:$W$124))/G98,0),""),"")</f>
        <v>0</v>
      </c>
      <c r="Y98" s="168">
        <f t="shared" si="44"/>
        <v>1</v>
      </c>
      <c r="Z98" s="168">
        <f t="shared" si="45"/>
        <v>0</v>
      </c>
    </row>
    <row r="99" spans="1:26" x14ac:dyDescent="0.4">
      <c r="A99" s="168">
        <f t="shared" si="31"/>
        <v>82</v>
      </c>
      <c r="B99" s="168">
        <f t="shared" si="46"/>
        <v>101</v>
      </c>
      <c r="C99" s="168">
        <f ca="1">IFERROR(MIN(VLOOKUP(B99,INDIRECT("mort_alb_"&amp;Cover!$J$4),IF(Sex="M",2,3))/1000,1)*Mort_Int,"")</f>
        <v>0.26531359999999998</v>
      </c>
      <c r="D99" s="168">
        <f t="shared" ca="1" si="32"/>
        <v>2.1125621986348805E-2</v>
      </c>
      <c r="E99" s="168">
        <f t="shared" ca="1" si="33"/>
        <v>7.9625100207259658E-2</v>
      </c>
      <c r="F99" s="168">
        <f t="shared" ca="1" si="34"/>
        <v>2.3710891260248279E-4</v>
      </c>
      <c r="G99" s="168">
        <f t="shared" ca="1" si="35"/>
        <v>9.3390920657514167E-4</v>
      </c>
      <c r="H99" s="168">
        <f>Prem!H99</f>
        <v>0</v>
      </c>
      <c r="I99" s="168">
        <f>Prem!I99</f>
        <v>1.19</v>
      </c>
      <c r="J99" s="168">
        <f>Prem!J99</f>
        <v>0</v>
      </c>
      <c r="K99" s="168">
        <f>Prem!K99</f>
        <v>0</v>
      </c>
      <c r="L99" s="168">
        <f>Prem!L99</f>
        <v>1190</v>
      </c>
      <c r="M99" s="168">
        <f>Prem!M99</f>
        <v>0</v>
      </c>
      <c r="N99" s="168">
        <f ca="1">IFERROR(IF(B99&lt;=Age+B,MAX(MIN(A99,PPP)*$E$10,CV!Z100+L100)*K99,""),"")</f>
        <v>0</v>
      </c>
      <c r="O99" s="171" cm="1">
        <f t="array" ref="O99">IFERROR(IF(B99&lt;=Age+B,VLOOKUP(IF(PPP&lt;20,PPP,"20+"),Exp_load_CV,_xlfn.IFS(A99=1,1,A99=2,2,A99=3,3,AND(A99&gt;=4,A99&lt;=10),4,AND(A99&gt;=11,A99&lt;=PPP),5,A99&gt;PPP,6)+1,FALSE),""),"")</f>
        <v>0</v>
      </c>
      <c r="P99" s="168">
        <f t="shared" ca="1" si="36"/>
        <v>0</v>
      </c>
      <c r="Q99" s="168">
        <f t="shared" ca="1" si="37"/>
        <v>1.1113519558244185</v>
      </c>
      <c r="R99" s="168">
        <f t="shared" ca="1" si="38"/>
        <v>0</v>
      </c>
      <c r="S99" s="168">
        <f t="shared" ca="1" si="39"/>
        <v>0</v>
      </c>
      <c r="T99" s="168">
        <f t="shared" ca="1" si="40"/>
        <v>0</v>
      </c>
      <c r="U99" s="168">
        <f t="shared" ca="1" si="41"/>
        <v>0</v>
      </c>
      <c r="V99" s="168">
        <f t="shared" ca="1" si="42"/>
        <v>1.1113519558244185</v>
      </c>
      <c r="W99" s="168">
        <f t="shared" ca="1" si="43"/>
        <v>0</v>
      </c>
      <c r="X99" s="168">
        <f>IFERROR(IF(B99&lt;=Age+B,IF(B99&lt;=Begin_Age,(SUM(U99:$U$124)+SUM(V99:$V$124)-SUM(W99:$W$124))/G99,0),""),"")</f>
        <v>0</v>
      </c>
      <c r="Y99" s="168">
        <f t="shared" si="44"/>
        <v>1</v>
      </c>
      <c r="Z99" s="168">
        <f t="shared" si="45"/>
        <v>0</v>
      </c>
    </row>
    <row r="100" spans="1:26" x14ac:dyDescent="0.4">
      <c r="A100" s="168">
        <f t="shared" si="31"/>
        <v>83</v>
      </c>
      <c r="B100" s="168">
        <f t="shared" si="46"/>
        <v>102</v>
      </c>
      <c r="C100" s="168">
        <f ca="1">IFERROR(MIN(VLOOKUP(B100,INDIRECT("mort_alb_"&amp;Cover!$J$4),IF(Sex="M",2,3))/1000,1)*Mort_Int,"")</f>
        <v>0.29166560000000002</v>
      </c>
      <c r="D100" s="168">
        <f t="shared" ca="1" si="32"/>
        <v>1.7062285414988897E-2</v>
      </c>
      <c r="E100" s="168">
        <f t="shared" ca="1" si="33"/>
        <v>5.8499478220910853E-2</v>
      </c>
      <c r="F100" s="168">
        <f t="shared" ca="1" si="34"/>
        <v>1.8325645724688735E-4</v>
      </c>
      <c r="G100" s="168">
        <f t="shared" ca="1" si="35"/>
        <v>6.5658410804358589E-4</v>
      </c>
      <c r="H100" s="168">
        <f>Prem!H100</f>
        <v>0</v>
      </c>
      <c r="I100" s="168">
        <f>Prem!I100</f>
        <v>1.19</v>
      </c>
      <c r="J100" s="168">
        <f>Prem!J100</f>
        <v>0</v>
      </c>
      <c r="K100" s="168">
        <f>Prem!K100</f>
        <v>0</v>
      </c>
      <c r="L100" s="168">
        <f>Prem!L100</f>
        <v>1190</v>
      </c>
      <c r="M100" s="168">
        <f>Prem!M100</f>
        <v>0</v>
      </c>
      <c r="N100" s="168">
        <f ca="1">IFERROR(IF(B100&lt;=Age+B,MAX(MIN(A100,PPP)*$E$10,CV!Z101+L101)*K100,""),"")</f>
        <v>0</v>
      </c>
      <c r="O100" s="171" cm="1">
        <f t="array" ref="O100">IFERROR(IF(B100&lt;=Age+B,VLOOKUP(IF(PPP&lt;20,PPP,"20+"),Exp_load_CV,_xlfn.IFS(A100=1,1,A100=2,2,A100=3,3,AND(A100&gt;=4,A100&lt;=10),4,AND(A100&gt;=11,A100&lt;=PPP),5,A100&gt;PPP,6)+1,FALSE),""),"")</f>
        <v>0</v>
      </c>
      <c r="P100" s="168">
        <f t="shared" ca="1" si="36"/>
        <v>0</v>
      </c>
      <c r="Q100" s="168">
        <f t="shared" ca="1" si="37"/>
        <v>0.78133508857186718</v>
      </c>
      <c r="R100" s="168">
        <f t="shared" ca="1" si="38"/>
        <v>0</v>
      </c>
      <c r="S100" s="168">
        <f t="shared" ca="1" si="39"/>
        <v>0</v>
      </c>
      <c r="T100" s="168">
        <f t="shared" ca="1" si="40"/>
        <v>0</v>
      </c>
      <c r="U100" s="168">
        <f t="shared" ca="1" si="41"/>
        <v>0</v>
      </c>
      <c r="V100" s="168">
        <f t="shared" ca="1" si="42"/>
        <v>0.78133508857186718</v>
      </c>
      <c r="W100" s="168">
        <f t="shared" ca="1" si="43"/>
        <v>0</v>
      </c>
      <c r="X100" s="168">
        <f>IFERROR(IF(B100&lt;=Age+B,IF(B100&lt;=Begin_Age,(SUM(U100:$U$124)+SUM(V100:$V$124)-SUM(W100:$W$124))/G100,0),""),"")</f>
        <v>0</v>
      </c>
      <c r="Y100" s="168">
        <f t="shared" si="44"/>
        <v>1</v>
      </c>
      <c r="Z100" s="168">
        <f t="shared" si="45"/>
        <v>0</v>
      </c>
    </row>
    <row r="101" spans="1:26" x14ac:dyDescent="0.4">
      <c r="A101" s="168">
        <f t="shared" si="31"/>
        <v>84</v>
      </c>
      <c r="B101" s="168">
        <f t="shared" si="46"/>
        <v>103</v>
      </c>
      <c r="C101" s="168">
        <f ca="1">IFERROR(MIN(VLOOKUP(B101,INDIRECT("mort_alb_"&amp;Cover!$J$4),IF(Sex="M",2,3))/1000,1)*Mort_Int,"")</f>
        <v>0.319772</v>
      </c>
      <c r="D101" s="168">
        <f t="shared" ca="1" si="32"/>
        <v>1.3250454017935275E-2</v>
      </c>
      <c r="E101" s="168">
        <f t="shared" ca="1" si="33"/>
        <v>4.1437192805921952E-2</v>
      </c>
      <c r="F101" s="168">
        <f t="shared" ca="1" si="34"/>
        <v>1.3618728213864891E-4</v>
      </c>
      <c r="G101" s="168">
        <f t="shared" ca="1" si="35"/>
        <v>4.4505369399099374E-4</v>
      </c>
      <c r="H101" s="168">
        <f>Prem!H101</f>
        <v>0</v>
      </c>
      <c r="I101" s="168">
        <f>Prem!I101</f>
        <v>1.19</v>
      </c>
      <c r="J101" s="168">
        <f>Prem!J101</f>
        <v>0</v>
      </c>
      <c r="K101" s="168">
        <f>Prem!K101</f>
        <v>0</v>
      </c>
      <c r="L101" s="168">
        <f>Prem!L101</f>
        <v>1190</v>
      </c>
      <c r="M101" s="168">
        <f>Prem!M101</f>
        <v>0</v>
      </c>
      <c r="N101" s="168">
        <f ca="1">IFERROR(IF(B101&lt;=Age+B,MAX(MIN(A101,PPP)*$E$10,CV!Z102+L102)*K101,""),"")</f>
        <v>0</v>
      </c>
      <c r="O101" s="171" cm="1">
        <f t="array" ref="O101">IFERROR(IF(B101&lt;=Age+B,VLOOKUP(IF(PPP&lt;20,PPP,"20+"),Exp_load_CV,_xlfn.IFS(A101=1,1,A101=2,2,A101=3,3,AND(A101&gt;=4,A101&lt;=10),4,AND(A101&gt;=11,A101&lt;=PPP),5,A101&gt;PPP,6)+1,FALSE),""),"")</f>
        <v>0</v>
      </c>
      <c r="P101" s="168">
        <f t="shared" ca="1" si="36"/>
        <v>0</v>
      </c>
      <c r="Q101" s="168">
        <f t="shared" ca="1" si="37"/>
        <v>0.52961389584928253</v>
      </c>
      <c r="R101" s="168">
        <f t="shared" ca="1" si="38"/>
        <v>0</v>
      </c>
      <c r="S101" s="168">
        <f t="shared" ca="1" si="39"/>
        <v>0</v>
      </c>
      <c r="T101" s="168">
        <f t="shared" ca="1" si="40"/>
        <v>0</v>
      </c>
      <c r="U101" s="168">
        <f t="shared" ca="1" si="41"/>
        <v>0</v>
      </c>
      <c r="V101" s="168">
        <f t="shared" ca="1" si="42"/>
        <v>0.52961389584928253</v>
      </c>
      <c r="W101" s="168">
        <f t="shared" ca="1" si="43"/>
        <v>0</v>
      </c>
      <c r="X101" s="168">
        <f>IFERROR(IF(B101&lt;=Age+B,IF(B101&lt;=Begin_Age,(SUM(U101:$U$124)+SUM(V101:$V$124)-SUM(W101:$W$124))/G101,0),""),"")</f>
        <v>0</v>
      </c>
      <c r="Y101" s="168">
        <f t="shared" si="44"/>
        <v>1</v>
      </c>
      <c r="Z101" s="168">
        <f t="shared" si="45"/>
        <v>0</v>
      </c>
    </row>
    <row r="102" spans="1:26" x14ac:dyDescent="0.4">
      <c r="A102" s="168">
        <f t="shared" si="31"/>
        <v>85</v>
      </c>
      <c r="B102" s="168">
        <f t="shared" si="46"/>
        <v>104</v>
      </c>
      <c r="C102" s="168">
        <f ca="1">IFERROR(MIN(VLOOKUP(B102,INDIRECT("mort_alb_"&amp;Cover!$J$4),IF(Sex="M",2,3))/1000,1)*Mort_Int,"")</f>
        <v>0.34715040000000003</v>
      </c>
      <c r="D102" s="168">
        <f t="shared" ca="1" si="32"/>
        <v>9.785037644945092E-3</v>
      </c>
      <c r="E102" s="168">
        <f t="shared" ca="1" si="33"/>
        <v>2.8186738787986679E-2</v>
      </c>
      <c r="F102" s="168">
        <f t="shared" ca="1" si="34"/>
        <v>9.6239199922149959E-5</v>
      </c>
      <c r="G102" s="168">
        <f t="shared" ca="1" si="35"/>
        <v>2.8970142024507735E-4</v>
      </c>
      <c r="H102" s="168">
        <f>Prem!H102</f>
        <v>0</v>
      </c>
      <c r="I102" s="168">
        <f>Prem!I102</f>
        <v>1.19</v>
      </c>
      <c r="J102" s="168">
        <f>Prem!J102</f>
        <v>0</v>
      </c>
      <c r="K102" s="168">
        <f>Prem!K102</f>
        <v>0</v>
      </c>
      <c r="L102" s="168">
        <f>Prem!L102</f>
        <v>1190</v>
      </c>
      <c r="M102" s="168">
        <f>Prem!M102</f>
        <v>0</v>
      </c>
      <c r="N102" s="168">
        <f ca="1">IFERROR(IF(B102&lt;=Age+B,MAX(MIN(A102,PPP)*$E$10,CV!Z103+L103)*K102,""),"")</f>
        <v>0</v>
      </c>
      <c r="O102" s="171" cm="1">
        <f t="array" ref="O102">IFERROR(IF(B102&lt;=Age+B,VLOOKUP(IF(PPP&lt;20,PPP,"20+"),Exp_load_CV,_xlfn.IFS(A102=1,1,A102=2,2,A102=3,3,AND(A102&gt;=4,A102&lt;=10),4,AND(A102&gt;=11,A102&lt;=PPP),5,A102&gt;PPP,6)+1,FALSE),""),"")</f>
        <v>0</v>
      </c>
      <c r="P102" s="168">
        <f t="shared" ca="1" si="36"/>
        <v>0</v>
      </c>
      <c r="Q102" s="168">
        <f t="shared" ca="1" si="37"/>
        <v>0.34474469009164205</v>
      </c>
      <c r="R102" s="168">
        <f t="shared" ca="1" si="38"/>
        <v>0</v>
      </c>
      <c r="S102" s="168">
        <f t="shared" ca="1" si="39"/>
        <v>0</v>
      </c>
      <c r="T102" s="168">
        <f t="shared" ca="1" si="40"/>
        <v>0</v>
      </c>
      <c r="U102" s="168">
        <f t="shared" ca="1" si="41"/>
        <v>0</v>
      </c>
      <c r="V102" s="168">
        <f t="shared" ca="1" si="42"/>
        <v>0.34474469009164205</v>
      </c>
      <c r="W102" s="168">
        <f t="shared" ca="1" si="43"/>
        <v>0</v>
      </c>
      <c r="X102" s="168">
        <f>IFERROR(IF(B102&lt;=Age+B,IF(B102&lt;=Begin_Age,(SUM(U102:$U$124)+SUM(V102:$V$124)-SUM(W102:$W$124))/G102,0),""),"")</f>
        <v>0</v>
      </c>
      <c r="Y102" s="168">
        <f t="shared" si="44"/>
        <v>1</v>
      </c>
      <c r="Z102" s="168">
        <f t="shared" si="45"/>
        <v>0</v>
      </c>
    </row>
    <row r="103" spans="1:26" x14ac:dyDescent="0.4">
      <c r="A103" s="168">
        <f t="shared" si="31"/>
        <v>86</v>
      </c>
      <c r="B103" s="168">
        <f t="shared" si="46"/>
        <v>105</v>
      </c>
      <c r="C103" s="168">
        <f ca="1">IFERROR(MIN(VLOOKUP(B103,INDIRECT("mort_alb_"&amp;Cover!$J$4),IF(Sex="M",2,3))/1000,1)*Mort_Int,"")</f>
        <v>0.8</v>
      </c>
      <c r="D103" s="168">
        <f t="shared" ca="1" si="32"/>
        <v>1.4721360914433268E-2</v>
      </c>
      <c r="E103" s="168">
        <f t="shared" ca="1" si="33"/>
        <v>1.8401701143041585E-2</v>
      </c>
      <c r="F103" s="168">
        <f t="shared" ca="1" si="34"/>
        <v>1.3855467142340563E-4</v>
      </c>
      <c r="G103" s="168">
        <f t="shared" ca="1" si="35"/>
        <v>1.8098703954682355E-4</v>
      </c>
      <c r="H103" s="168">
        <f>Prem!H103</f>
        <v>0</v>
      </c>
      <c r="I103" s="168">
        <f>Prem!I103</f>
        <v>1.19</v>
      </c>
      <c r="J103" s="168">
        <f>Prem!J103</f>
        <v>0</v>
      </c>
      <c r="K103" s="168">
        <f>Prem!K103</f>
        <v>0</v>
      </c>
      <c r="L103" s="168">
        <f>Prem!L103</f>
        <v>1190</v>
      </c>
      <c r="M103" s="168">
        <f>Prem!M103</f>
        <v>0</v>
      </c>
      <c r="N103" s="168" t="str">
        <f ca="1">IFERROR(IF(B103&lt;=Age+B,MAX(MIN(A103,PPP)*$E$10,CV!Z104+L104)*K103,""),"")</f>
        <v/>
      </c>
      <c r="O103" s="171" cm="1">
        <f t="array" ref="O103">IFERROR(IF(B103&lt;=Age+B,VLOOKUP(IF(PPP&lt;20,PPP,"20+"),Exp_load_CV,_xlfn.IFS(A103=1,1,A103=2,2,A103=3,3,AND(A103&gt;=4,A103&lt;=10),4,AND(A103&gt;=11,A103&lt;=PPP),5,A103&gt;PPP,6)+1,FALSE),""),"")</f>
        <v>0</v>
      </c>
      <c r="P103" s="168" t="str">
        <f t="shared" ca="1" si="36"/>
        <v/>
      </c>
      <c r="Q103" s="168">
        <f t="shared" ca="1" si="37"/>
        <v>0.21537457706072002</v>
      </c>
      <c r="R103" s="168">
        <f t="shared" ca="1" si="38"/>
        <v>0</v>
      </c>
      <c r="S103" s="168">
        <f t="shared" ca="1" si="39"/>
        <v>0</v>
      </c>
      <c r="T103" s="168">
        <f t="shared" ca="1" si="40"/>
        <v>0</v>
      </c>
      <c r="U103" s="168" t="str">
        <f t="shared" ca="1" si="41"/>
        <v/>
      </c>
      <c r="V103" s="168">
        <f t="shared" ca="1" si="42"/>
        <v>0.21537457706072002</v>
      </c>
      <c r="W103" s="168">
        <f t="shared" ca="1" si="43"/>
        <v>0</v>
      </c>
      <c r="X103" s="168">
        <f>IFERROR(IF(B103&lt;=Age+B,IF(B103&lt;=Begin_Age,(SUM(U103:$U$124)+SUM(V103:$V$124)-SUM(W103:$W$124))/G103,0),""),"")</f>
        <v>0</v>
      </c>
      <c r="Y103" s="168">
        <f t="shared" si="44"/>
        <v>1</v>
      </c>
      <c r="Z103" s="168">
        <f t="shared" si="45"/>
        <v>0</v>
      </c>
    </row>
    <row r="104" spans="1:26" x14ac:dyDescent="0.4">
      <c r="A104" s="168" t="str">
        <f t="shared" si="31"/>
        <v/>
      </c>
      <c r="B104" s="168" t="str">
        <f t="shared" si="46"/>
        <v/>
      </c>
      <c r="C104" s="168" t="str">
        <f ca="1">IFERROR(MIN(VLOOKUP(B104,INDIRECT("mort_alb_"&amp;Cover!$J$4),IF(Sex="M",2,3))/1000,1)*Mort_Int,"")</f>
        <v/>
      </c>
      <c r="D104" s="168" t="str">
        <f t="shared" ca="1" si="32"/>
        <v/>
      </c>
      <c r="E104" s="168" t="str">
        <f t="shared" si="33"/>
        <v/>
      </c>
      <c r="F104" s="168" t="str">
        <f t="shared" ca="1" si="34"/>
        <v/>
      </c>
      <c r="G104" s="168" t="str">
        <f t="shared" si="35"/>
        <v/>
      </c>
      <c r="H104" s="168" t="str">
        <f>Prem!H104</f>
        <v/>
      </c>
      <c r="I104" s="168" t="str">
        <f>Prem!I104</f>
        <v/>
      </c>
      <c r="J104" s="168" t="str">
        <f>Prem!J104</f>
        <v/>
      </c>
      <c r="K104" s="168" t="str">
        <f>Prem!K104</f>
        <v/>
      </c>
      <c r="L104" s="168" t="str">
        <f>Prem!L104</f>
        <v/>
      </c>
      <c r="M104" s="168" t="str">
        <f>Prem!M104</f>
        <v/>
      </c>
      <c r="N104" s="168" t="str">
        <f>IFERROR(IF(B104&lt;=Age+B,MAX(MIN(A104,PPP)*$E$10,CV!Z105+L105)*K104,""),"")</f>
        <v/>
      </c>
      <c r="O104" s="171" t="str" cm="1">
        <f t="array" ref="O104">IFERROR(IF(B104&lt;=Age+B,VLOOKUP(IF(PPP&lt;20,PPP,"20+"),Exp_load_CV,_xlfn.IFS(A104=1,1,A104=2,2,A104=3,3,AND(A104&gt;=4,A104&lt;=10),4,AND(A104&gt;=11,A104&lt;=PPP),5,A104&gt;PPP,6)+1,FALSE),""),"")</f>
        <v/>
      </c>
      <c r="P104" s="168" t="str">
        <f t="shared" si="36"/>
        <v/>
      </c>
      <c r="Q104" s="168" t="str">
        <f t="shared" si="37"/>
        <v/>
      </c>
      <c r="R104" s="168" t="str">
        <f t="shared" si="38"/>
        <v/>
      </c>
      <c r="S104" s="168" t="str">
        <f t="shared" si="39"/>
        <v/>
      </c>
      <c r="T104" s="168" t="str">
        <f t="shared" si="40"/>
        <v/>
      </c>
      <c r="U104" s="168" t="str">
        <f t="shared" si="41"/>
        <v/>
      </c>
      <c r="V104" s="168" t="str">
        <f t="shared" si="42"/>
        <v/>
      </c>
      <c r="W104" s="168" t="str">
        <f t="shared" si="43"/>
        <v/>
      </c>
      <c r="X104" s="168" t="str">
        <f>IFERROR(IF(B104&lt;=Age+B,IF(B104&lt;=Begin_Age,(SUM(U104:$U$124)+SUM(V104:$V$124)-SUM(W104:$W$124))/G104,0),""),"")</f>
        <v/>
      </c>
      <c r="Y104" s="168" t="str">
        <f t="shared" si="44"/>
        <v/>
      </c>
      <c r="Z104" s="168" t="str">
        <f t="shared" si="45"/>
        <v/>
      </c>
    </row>
    <row r="105" spans="1:26" x14ac:dyDescent="0.4">
      <c r="A105" s="168" t="str">
        <f t="shared" si="31"/>
        <v/>
      </c>
      <c r="B105" s="168" t="str">
        <f t="shared" si="46"/>
        <v/>
      </c>
      <c r="C105" s="168" t="str">
        <f ca="1">IFERROR(MIN(VLOOKUP(B105,INDIRECT("mort_alb_"&amp;Cover!$J$4),IF(Sex="M",2,3))/1000,1)*Mort_Int,"")</f>
        <v/>
      </c>
      <c r="D105" s="168" t="str">
        <f t="shared" ca="1" si="32"/>
        <v/>
      </c>
      <c r="E105" s="168" t="str">
        <f t="shared" si="33"/>
        <v/>
      </c>
      <c r="F105" s="168" t="str">
        <f t="shared" ca="1" si="34"/>
        <v/>
      </c>
      <c r="G105" s="168" t="str">
        <f t="shared" si="35"/>
        <v/>
      </c>
      <c r="H105" s="168" t="str">
        <f>Prem!H105</f>
        <v/>
      </c>
      <c r="I105" s="168" t="str">
        <f>Prem!I105</f>
        <v/>
      </c>
      <c r="J105" s="168" t="str">
        <f>Prem!J105</f>
        <v/>
      </c>
      <c r="K105" s="168" t="str">
        <f>Prem!K105</f>
        <v/>
      </c>
      <c r="L105" s="168" t="str">
        <f>Prem!L105</f>
        <v/>
      </c>
      <c r="M105" s="168" t="str">
        <f>Prem!M105</f>
        <v/>
      </c>
      <c r="N105" s="168" t="str">
        <f>IFERROR(IF(B105&lt;=Age+B,MAX(MIN(A105,PPP)*$E$10,CV!Z106+L106)*K105,""),"")</f>
        <v/>
      </c>
      <c r="O105" s="171" t="str" cm="1">
        <f t="array" ref="O105">IFERROR(IF(B105&lt;=Age+B,VLOOKUP(IF(PPP&lt;20,PPP,"20+"),Exp_load_CV,_xlfn.IFS(A105=1,1,A105=2,2,A105=3,3,AND(A105&gt;=4,A105&lt;=10),4,AND(A105&gt;=11,A105&lt;=PPP),5,A105&gt;PPP,6)+1,FALSE),""),"")</f>
        <v/>
      </c>
      <c r="P105" s="168" t="str">
        <f t="shared" si="36"/>
        <v/>
      </c>
      <c r="Q105" s="168" t="str">
        <f t="shared" si="37"/>
        <v/>
      </c>
      <c r="R105" s="168" t="str">
        <f t="shared" si="38"/>
        <v/>
      </c>
      <c r="S105" s="168" t="str">
        <f t="shared" si="39"/>
        <v/>
      </c>
      <c r="T105" s="168" t="str">
        <f t="shared" si="40"/>
        <v/>
      </c>
      <c r="U105" s="168" t="str">
        <f t="shared" si="41"/>
        <v/>
      </c>
      <c r="V105" s="168" t="str">
        <f t="shared" si="42"/>
        <v/>
      </c>
      <c r="W105" s="168" t="str">
        <f t="shared" si="43"/>
        <v/>
      </c>
      <c r="X105" s="168" t="str">
        <f>IFERROR(IF(B105&lt;=Age+B,IF(B105&lt;=Begin_Age,(SUM(U105:$U$124)+SUM(V105:$V$124)-SUM(W105:$W$124))/G105,0),""),"")</f>
        <v/>
      </c>
      <c r="Y105" s="168" t="str">
        <f t="shared" si="44"/>
        <v/>
      </c>
      <c r="Z105" s="168" t="str">
        <f t="shared" si="45"/>
        <v/>
      </c>
    </row>
    <row r="106" spans="1:26" x14ac:dyDescent="0.4">
      <c r="A106" s="168" t="str">
        <f t="shared" si="31"/>
        <v/>
      </c>
      <c r="B106" s="168" t="str">
        <f t="shared" si="46"/>
        <v/>
      </c>
      <c r="C106" s="168" t="str">
        <f ca="1">IFERROR(MIN(VLOOKUP(B106,INDIRECT("mort_alb_"&amp;Cover!$J$4),IF(Sex="M",2,3))/1000,1)*Mort_Int,"")</f>
        <v/>
      </c>
      <c r="D106" s="168" t="str">
        <f t="shared" ca="1" si="32"/>
        <v/>
      </c>
      <c r="E106" s="168" t="str">
        <f t="shared" si="33"/>
        <v/>
      </c>
      <c r="F106" s="168" t="str">
        <f t="shared" ca="1" si="34"/>
        <v/>
      </c>
      <c r="G106" s="168" t="str">
        <f t="shared" si="35"/>
        <v/>
      </c>
      <c r="H106" s="168" t="str">
        <f>Prem!H106</f>
        <v/>
      </c>
      <c r="I106" s="168" t="str">
        <f>Prem!I106</f>
        <v/>
      </c>
      <c r="J106" s="168" t="str">
        <f>Prem!J106</f>
        <v/>
      </c>
      <c r="K106" s="168" t="str">
        <f>Prem!K106</f>
        <v/>
      </c>
      <c r="L106" s="168" t="str">
        <f>Prem!L106</f>
        <v/>
      </c>
      <c r="M106" s="168" t="str">
        <f>Prem!M106</f>
        <v/>
      </c>
      <c r="N106" s="168" t="str">
        <f>IFERROR(IF(B106&lt;=Age+B,MAX(MIN(A106,PPP)*$E$10,CV!Z107+L107)*K106,""),"")</f>
        <v/>
      </c>
      <c r="O106" s="171" t="str" cm="1">
        <f t="array" ref="O106">IFERROR(IF(B106&lt;=Age+B,VLOOKUP(IF(PPP&lt;20,PPP,"20+"),Exp_load_CV,_xlfn.IFS(A106=1,1,A106=2,2,A106=3,3,AND(A106&gt;=4,A106&lt;=10),4,AND(A106&gt;=11,A106&lt;=PPP),5,A106&gt;PPP,6)+1,FALSE),""),"")</f>
        <v/>
      </c>
      <c r="P106" s="168" t="str">
        <f t="shared" si="36"/>
        <v/>
      </c>
      <c r="Q106" s="168" t="str">
        <f t="shared" si="37"/>
        <v/>
      </c>
      <c r="R106" s="168" t="str">
        <f t="shared" si="38"/>
        <v/>
      </c>
      <c r="S106" s="168" t="str">
        <f t="shared" si="39"/>
        <v/>
      </c>
      <c r="T106" s="168" t="str">
        <f t="shared" si="40"/>
        <v/>
      </c>
      <c r="U106" s="168" t="str">
        <f t="shared" si="41"/>
        <v/>
      </c>
      <c r="V106" s="168" t="str">
        <f t="shared" si="42"/>
        <v/>
      </c>
      <c r="W106" s="168" t="str">
        <f t="shared" si="43"/>
        <v/>
      </c>
      <c r="X106" s="168" t="str">
        <f>IFERROR(IF(B106&lt;=Age+B,IF(B106&lt;=Begin_Age,(SUM(U106:$U$124)+SUM(V106:$V$124)-SUM(W106:$W$124))/G106,0),""),"")</f>
        <v/>
      </c>
      <c r="Y106" s="168" t="str">
        <f t="shared" si="44"/>
        <v/>
      </c>
      <c r="Z106" s="168" t="str">
        <f t="shared" si="45"/>
        <v/>
      </c>
    </row>
    <row r="107" spans="1:26" x14ac:dyDescent="0.4">
      <c r="A107" s="168" t="str">
        <f t="shared" si="31"/>
        <v/>
      </c>
      <c r="B107" s="168" t="str">
        <f t="shared" si="46"/>
        <v/>
      </c>
      <c r="C107" s="168" t="str">
        <f ca="1">IFERROR(MIN(VLOOKUP(B107,INDIRECT("mort_alb_"&amp;Cover!$J$4),IF(Sex="M",2,3))/1000,1)*Mort_Int,"")</f>
        <v/>
      </c>
      <c r="D107" s="168" t="str">
        <f t="shared" ca="1" si="32"/>
        <v/>
      </c>
      <c r="E107" s="168" t="str">
        <f t="shared" si="33"/>
        <v/>
      </c>
      <c r="F107" s="168" t="str">
        <f t="shared" ca="1" si="34"/>
        <v/>
      </c>
      <c r="G107" s="168" t="str">
        <f t="shared" si="35"/>
        <v/>
      </c>
      <c r="H107" s="168" t="str">
        <f>Prem!H107</f>
        <v/>
      </c>
      <c r="I107" s="168" t="str">
        <f>Prem!I107</f>
        <v/>
      </c>
      <c r="J107" s="168" t="str">
        <f>Prem!J107</f>
        <v/>
      </c>
      <c r="K107" s="168" t="str">
        <f>Prem!K107</f>
        <v/>
      </c>
      <c r="L107" s="168" t="str">
        <f>Prem!L107</f>
        <v/>
      </c>
      <c r="M107" s="168" t="str">
        <f>Prem!M107</f>
        <v/>
      </c>
      <c r="N107" s="168" t="str">
        <f>IFERROR(IF(B107&lt;=Age+B,MAX(MIN(A107,PPP)*$E$10,CV!Z108+L108)*K107,""),"")</f>
        <v/>
      </c>
      <c r="O107" s="171" t="str" cm="1">
        <f t="array" ref="O107">IFERROR(IF(B107&lt;=Age+B,VLOOKUP(IF(PPP&lt;20,PPP,"20+"),Exp_load_CV,_xlfn.IFS(A107=1,1,A107=2,2,A107=3,3,AND(A107&gt;=4,A107&lt;=10),4,AND(A107&gt;=11,A107&lt;=PPP),5,A107&gt;PPP,6)+1,FALSE),""),"")</f>
        <v/>
      </c>
      <c r="P107" s="168" t="str">
        <f t="shared" si="36"/>
        <v/>
      </c>
      <c r="Q107" s="168" t="str">
        <f t="shared" si="37"/>
        <v/>
      </c>
      <c r="R107" s="168" t="str">
        <f t="shared" si="38"/>
        <v/>
      </c>
      <c r="S107" s="168" t="str">
        <f t="shared" si="39"/>
        <v/>
      </c>
      <c r="T107" s="168" t="str">
        <f t="shared" si="40"/>
        <v/>
      </c>
      <c r="U107" s="168" t="str">
        <f t="shared" si="41"/>
        <v/>
      </c>
      <c r="V107" s="168" t="str">
        <f t="shared" si="42"/>
        <v/>
      </c>
      <c r="W107" s="168" t="str">
        <f t="shared" si="43"/>
        <v/>
      </c>
      <c r="X107" s="168" t="str">
        <f>IFERROR(IF(B107&lt;=Age+B,IF(B107&lt;=Begin_Age,(SUM(U107:$U$124)+SUM(V107:$V$124)-SUM(W107:$W$124))/G107,0),""),"")</f>
        <v/>
      </c>
      <c r="Y107" s="168" t="str">
        <f t="shared" si="44"/>
        <v/>
      </c>
      <c r="Z107" s="168" t="str">
        <f t="shared" si="45"/>
        <v/>
      </c>
    </row>
    <row r="108" spans="1:26" x14ac:dyDescent="0.4">
      <c r="A108" s="168" t="str">
        <f t="shared" si="31"/>
        <v/>
      </c>
      <c r="B108" s="168" t="str">
        <f t="shared" si="46"/>
        <v/>
      </c>
      <c r="C108" s="168" t="str">
        <f ca="1">IFERROR(MIN(VLOOKUP(B108,INDIRECT("mort_alb_"&amp;Cover!$J$4),IF(Sex="M",2,3))/1000,1)*Mort_Int,"")</f>
        <v/>
      </c>
      <c r="D108" s="168" t="str">
        <f t="shared" ca="1" si="32"/>
        <v/>
      </c>
      <c r="E108" s="168" t="str">
        <f t="shared" si="33"/>
        <v/>
      </c>
      <c r="F108" s="168" t="str">
        <f t="shared" ca="1" si="34"/>
        <v/>
      </c>
      <c r="G108" s="168" t="str">
        <f t="shared" si="35"/>
        <v/>
      </c>
      <c r="H108" s="168" t="str">
        <f>Prem!H108</f>
        <v/>
      </c>
      <c r="I108" s="168" t="str">
        <f>Prem!I108</f>
        <v/>
      </c>
      <c r="J108" s="168" t="str">
        <f>Prem!J108</f>
        <v/>
      </c>
      <c r="K108" s="168" t="str">
        <f>Prem!K108</f>
        <v/>
      </c>
      <c r="L108" s="168" t="str">
        <f>Prem!L108</f>
        <v/>
      </c>
      <c r="M108" s="168" t="str">
        <f>Prem!M108</f>
        <v/>
      </c>
      <c r="N108" s="168" t="str">
        <f>IFERROR(IF(B108&lt;=Age+B,MAX(MIN(A108,PPP)*$E$10,CV!Z109+L109)*K108,""),"")</f>
        <v/>
      </c>
      <c r="O108" s="171" t="str" cm="1">
        <f t="array" ref="O108">IFERROR(IF(B108&lt;=Age+B,VLOOKUP(IF(PPP&lt;20,PPP,"20+"),Exp_load_CV,_xlfn.IFS(A108=1,1,A108=2,2,A108=3,3,AND(A108&gt;=4,A108&lt;=10),4,AND(A108&gt;=11,A108&lt;=PPP),5,A108&gt;PPP,6)+1,FALSE),""),"")</f>
        <v/>
      </c>
      <c r="P108" s="168" t="str">
        <f t="shared" si="36"/>
        <v/>
      </c>
      <c r="Q108" s="168" t="str">
        <f t="shared" si="37"/>
        <v/>
      </c>
      <c r="R108" s="168" t="str">
        <f t="shared" si="38"/>
        <v/>
      </c>
      <c r="S108" s="168" t="str">
        <f t="shared" si="39"/>
        <v/>
      </c>
      <c r="T108" s="168" t="str">
        <f t="shared" si="40"/>
        <v/>
      </c>
      <c r="U108" s="168" t="str">
        <f t="shared" si="41"/>
        <v/>
      </c>
      <c r="V108" s="168" t="str">
        <f t="shared" si="42"/>
        <v/>
      </c>
      <c r="W108" s="168" t="str">
        <f t="shared" si="43"/>
        <v/>
      </c>
      <c r="X108" s="168" t="str">
        <f>IFERROR(IF(B108&lt;=Age+B,IF(B108&lt;=Begin_Age,(SUM(U108:$U$124)+SUM(V108:$V$124)-SUM(W108:$W$124))/G108,0),""),"")</f>
        <v/>
      </c>
      <c r="Y108" s="168" t="str">
        <f t="shared" si="44"/>
        <v/>
      </c>
      <c r="Z108" s="168" t="str">
        <f t="shared" si="45"/>
        <v/>
      </c>
    </row>
    <row r="109" spans="1:26" x14ac:dyDescent="0.4">
      <c r="A109" s="168" t="str">
        <f t="shared" si="31"/>
        <v/>
      </c>
      <c r="B109" s="168" t="str">
        <f t="shared" si="46"/>
        <v/>
      </c>
      <c r="C109" s="168" t="str">
        <f ca="1">IFERROR(MIN(VLOOKUP(B109,INDIRECT("mort_alb_"&amp;Cover!$J$4),IF(Sex="M",2,3))/1000,1)*Mort_Int,"")</f>
        <v/>
      </c>
      <c r="D109" s="168" t="str">
        <f t="shared" ca="1" si="32"/>
        <v/>
      </c>
      <c r="E109" s="168" t="str">
        <f t="shared" si="33"/>
        <v/>
      </c>
      <c r="F109" s="168" t="str">
        <f t="shared" ca="1" si="34"/>
        <v/>
      </c>
      <c r="G109" s="168" t="str">
        <f t="shared" si="35"/>
        <v/>
      </c>
      <c r="H109" s="168" t="str">
        <f>Prem!H109</f>
        <v/>
      </c>
      <c r="I109" s="168" t="str">
        <f>Prem!I109</f>
        <v/>
      </c>
      <c r="J109" s="168" t="str">
        <f>Prem!J109</f>
        <v/>
      </c>
      <c r="K109" s="168" t="str">
        <f>Prem!K109</f>
        <v/>
      </c>
      <c r="L109" s="168" t="str">
        <f>Prem!L109</f>
        <v/>
      </c>
      <c r="M109" s="168" t="str">
        <f>Prem!M109</f>
        <v/>
      </c>
      <c r="N109" s="168" t="str">
        <f>IFERROR(IF(B109&lt;=Age+B,MAX(MIN(A109,PPP)*$E$10,CV!Z110+L110)*K109,""),"")</f>
        <v/>
      </c>
      <c r="O109" s="171" t="str" cm="1">
        <f t="array" ref="O109">IFERROR(IF(B109&lt;=Age+B,VLOOKUP(IF(PPP&lt;20,PPP,"20+"),Exp_load_CV,_xlfn.IFS(A109=1,1,A109=2,2,A109=3,3,AND(A109&gt;=4,A109&lt;=10),4,AND(A109&gt;=11,A109&lt;=PPP),5,A109&gt;PPP,6)+1,FALSE),""),"")</f>
        <v/>
      </c>
      <c r="P109" s="168" t="str">
        <f t="shared" si="36"/>
        <v/>
      </c>
      <c r="Q109" s="168" t="str">
        <f t="shared" si="37"/>
        <v/>
      </c>
      <c r="R109" s="168" t="str">
        <f t="shared" si="38"/>
        <v/>
      </c>
      <c r="S109" s="168" t="str">
        <f t="shared" si="39"/>
        <v/>
      </c>
      <c r="T109" s="168" t="str">
        <f t="shared" si="40"/>
        <v/>
      </c>
      <c r="U109" s="168" t="str">
        <f t="shared" si="41"/>
        <v/>
      </c>
      <c r="V109" s="168" t="str">
        <f t="shared" si="42"/>
        <v/>
      </c>
      <c r="W109" s="168" t="str">
        <f t="shared" si="43"/>
        <v/>
      </c>
      <c r="X109" s="168" t="str">
        <f>IFERROR(IF(B109&lt;=Age+B,IF(B109&lt;=Begin_Age,(SUM(U109:$U$124)+SUM(V109:$V$124)-SUM(W109:$W$124))/G109,0),""),"")</f>
        <v/>
      </c>
      <c r="Y109" s="168" t="str">
        <f t="shared" si="44"/>
        <v/>
      </c>
      <c r="Z109" s="168" t="str">
        <f t="shared" si="45"/>
        <v/>
      </c>
    </row>
    <row r="110" spans="1:26" x14ac:dyDescent="0.4">
      <c r="A110" s="168" t="str">
        <f t="shared" si="31"/>
        <v/>
      </c>
      <c r="B110" s="168" t="str">
        <f t="shared" si="46"/>
        <v/>
      </c>
      <c r="C110" s="168" t="str">
        <f ca="1">IFERROR(MIN(VLOOKUP(B110,INDIRECT("mort_alb_"&amp;Cover!$J$4),IF(Sex="M",2,3))/1000,1)*Mort_Int,"")</f>
        <v/>
      </c>
      <c r="D110" s="168" t="str">
        <f t="shared" ca="1" si="32"/>
        <v/>
      </c>
      <c r="E110" s="168" t="str">
        <f t="shared" si="33"/>
        <v/>
      </c>
      <c r="F110" s="168" t="str">
        <f t="shared" ca="1" si="34"/>
        <v/>
      </c>
      <c r="G110" s="168" t="str">
        <f t="shared" si="35"/>
        <v/>
      </c>
      <c r="H110" s="168" t="str">
        <f>Prem!H110</f>
        <v/>
      </c>
      <c r="I110" s="168" t="str">
        <f>Prem!I110</f>
        <v/>
      </c>
      <c r="J110" s="168" t="str">
        <f>Prem!J110</f>
        <v/>
      </c>
      <c r="K110" s="168" t="str">
        <f>Prem!K110</f>
        <v/>
      </c>
      <c r="L110" s="168" t="str">
        <f>Prem!L110</f>
        <v/>
      </c>
      <c r="M110" s="168" t="str">
        <f>Prem!M110</f>
        <v/>
      </c>
      <c r="N110" s="168" t="str">
        <f>IFERROR(IF(B110&lt;=Age+B,MAX(MIN(A110,PPP)*$E$10,CV!Z111+L111)*K110,""),"")</f>
        <v/>
      </c>
      <c r="O110" s="171" t="str" cm="1">
        <f t="array" ref="O110">IFERROR(IF(B110&lt;=Age+B,VLOOKUP(IF(PPP&lt;20,PPP,"20+"),Exp_load_CV,_xlfn.IFS(A110=1,1,A110=2,2,A110=3,3,AND(A110&gt;=4,A110&lt;=10),4,AND(A110&gt;=11,A110&lt;=PPP),5,A110&gt;PPP,6)+1,FALSE),""),"")</f>
        <v/>
      </c>
      <c r="P110" s="168" t="str">
        <f t="shared" si="36"/>
        <v/>
      </c>
      <c r="Q110" s="168" t="str">
        <f t="shared" si="37"/>
        <v/>
      </c>
      <c r="R110" s="168" t="str">
        <f t="shared" si="38"/>
        <v/>
      </c>
      <c r="S110" s="168" t="str">
        <f t="shared" si="39"/>
        <v/>
      </c>
      <c r="T110" s="168" t="str">
        <f t="shared" si="40"/>
        <v/>
      </c>
      <c r="U110" s="168" t="str">
        <f t="shared" si="41"/>
        <v/>
      </c>
      <c r="V110" s="168" t="str">
        <f t="shared" si="42"/>
        <v/>
      </c>
      <c r="W110" s="168" t="str">
        <f t="shared" si="43"/>
        <v/>
      </c>
      <c r="X110" s="168" t="str">
        <f>IFERROR(IF(B110&lt;=Age+B,IF(B110&lt;=Begin_Age,(SUM(U110:$U$124)+SUM(V110:$V$124)-SUM(W110:$W$124))/G110,0),""),"")</f>
        <v/>
      </c>
      <c r="Y110" s="168" t="str">
        <f t="shared" si="44"/>
        <v/>
      </c>
      <c r="Z110" s="168" t="str">
        <f t="shared" si="45"/>
        <v/>
      </c>
    </row>
    <row r="111" spans="1:26" x14ac:dyDescent="0.4">
      <c r="A111" s="168" t="str">
        <f t="shared" si="31"/>
        <v/>
      </c>
      <c r="B111" s="168" t="str">
        <f t="shared" si="46"/>
        <v/>
      </c>
      <c r="C111" s="168" t="str">
        <f ca="1">IFERROR(MIN(VLOOKUP(B111,INDIRECT("mort_alb_"&amp;Cover!$J$4),IF(Sex="M",2,3))/1000,1)*Mort_Int,"")</f>
        <v/>
      </c>
      <c r="D111" s="168" t="str">
        <f t="shared" ca="1" si="32"/>
        <v/>
      </c>
      <c r="E111" s="168" t="str">
        <f t="shared" si="33"/>
        <v/>
      </c>
      <c r="F111" s="168" t="str">
        <f t="shared" ca="1" si="34"/>
        <v/>
      </c>
      <c r="G111" s="168" t="str">
        <f t="shared" si="35"/>
        <v/>
      </c>
      <c r="H111" s="168" t="str">
        <f>Prem!H111</f>
        <v/>
      </c>
      <c r="I111" s="168" t="str">
        <f>Prem!I111</f>
        <v/>
      </c>
      <c r="J111" s="168" t="str">
        <f>Prem!J111</f>
        <v/>
      </c>
      <c r="K111" s="168" t="str">
        <f>Prem!K111</f>
        <v/>
      </c>
      <c r="L111" s="168" t="str">
        <f>Prem!L111</f>
        <v/>
      </c>
      <c r="M111" s="168" t="str">
        <f>Prem!M111</f>
        <v/>
      </c>
      <c r="N111" s="168" t="str">
        <f>IFERROR(IF(B111&lt;=Age+B,MAX(MIN(A111,PPP)*$E$10,CV!Z112+L112)*K111,""),"")</f>
        <v/>
      </c>
      <c r="O111" s="171" t="str" cm="1">
        <f t="array" ref="O111">IFERROR(IF(B111&lt;=Age+B,VLOOKUP(IF(PPP&lt;20,PPP,"20+"),Exp_load_CV,_xlfn.IFS(A111=1,1,A111=2,2,A111=3,3,AND(A111&gt;=4,A111&lt;=10),4,AND(A111&gt;=11,A111&lt;=PPP),5,A111&gt;PPP,6)+1,FALSE),""),"")</f>
        <v/>
      </c>
      <c r="P111" s="168" t="str">
        <f t="shared" si="36"/>
        <v/>
      </c>
      <c r="Q111" s="168" t="str">
        <f t="shared" si="37"/>
        <v/>
      </c>
      <c r="R111" s="168" t="str">
        <f t="shared" si="38"/>
        <v/>
      </c>
      <c r="S111" s="168" t="str">
        <f t="shared" si="39"/>
        <v/>
      </c>
      <c r="T111" s="168" t="str">
        <f t="shared" si="40"/>
        <v/>
      </c>
      <c r="U111" s="168" t="str">
        <f t="shared" si="41"/>
        <v/>
      </c>
      <c r="V111" s="168" t="str">
        <f t="shared" si="42"/>
        <v/>
      </c>
      <c r="W111" s="168" t="str">
        <f t="shared" si="43"/>
        <v/>
      </c>
      <c r="X111" s="168" t="str">
        <f>IFERROR(IF(B111&lt;=Age+B,IF(B111&lt;=Begin_Age,(SUM(U111:$U$124)+SUM(V111:$V$124)-SUM(W111:$W$124))/G111,0),""),"")</f>
        <v/>
      </c>
      <c r="Y111" s="168" t="str">
        <f t="shared" si="44"/>
        <v/>
      </c>
      <c r="Z111" s="168" t="str">
        <f t="shared" si="45"/>
        <v/>
      </c>
    </row>
    <row r="112" spans="1:26" x14ac:dyDescent="0.4">
      <c r="A112" s="168" t="str">
        <f t="shared" si="31"/>
        <v/>
      </c>
      <c r="B112" s="168" t="str">
        <f t="shared" si="46"/>
        <v/>
      </c>
      <c r="C112" s="168" t="str">
        <f ca="1">IFERROR(MIN(VLOOKUP(B112,INDIRECT("mort_alb_"&amp;Cover!$J$4),IF(Sex="M",2,3))/1000,1)*Mort_Int,"")</f>
        <v/>
      </c>
      <c r="D112" s="168" t="str">
        <f t="shared" ca="1" si="32"/>
        <v/>
      </c>
      <c r="E112" s="168" t="str">
        <f t="shared" si="33"/>
        <v/>
      </c>
      <c r="F112" s="168" t="str">
        <f t="shared" ca="1" si="34"/>
        <v/>
      </c>
      <c r="G112" s="168" t="str">
        <f t="shared" si="35"/>
        <v/>
      </c>
      <c r="H112" s="168" t="str">
        <f>Prem!H112</f>
        <v/>
      </c>
      <c r="I112" s="168" t="str">
        <f>Prem!I112</f>
        <v/>
      </c>
      <c r="J112" s="168" t="str">
        <f>Prem!J112</f>
        <v/>
      </c>
      <c r="K112" s="168" t="str">
        <f>Prem!K112</f>
        <v/>
      </c>
      <c r="L112" s="168" t="str">
        <f>Prem!L112</f>
        <v/>
      </c>
      <c r="M112" s="168" t="str">
        <f>Prem!M112</f>
        <v/>
      </c>
      <c r="N112" s="168" t="str">
        <f>IFERROR(IF(B112&lt;=Age+B,MAX(MIN(A112,PPP)*$E$10,CV!Z113+L113)*K112,""),"")</f>
        <v/>
      </c>
      <c r="O112" s="171" t="str" cm="1">
        <f t="array" ref="O112">IFERROR(IF(B112&lt;=Age+B,VLOOKUP(IF(PPP&lt;20,PPP,"20+"),Exp_load_CV,_xlfn.IFS(A112=1,1,A112=2,2,A112=3,3,AND(A112&gt;=4,A112&lt;=10),4,AND(A112&gt;=11,A112&lt;=PPP),5,A112&gt;PPP,6)+1,FALSE),""),"")</f>
        <v/>
      </c>
      <c r="P112" s="168" t="str">
        <f t="shared" si="36"/>
        <v/>
      </c>
      <c r="Q112" s="168" t="str">
        <f t="shared" si="37"/>
        <v/>
      </c>
      <c r="R112" s="168" t="str">
        <f t="shared" si="38"/>
        <v/>
      </c>
      <c r="S112" s="168" t="str">
        <f t="shared" si="39"/>
        <v/>
      </c>
      <c r="T112" s="168" t="str">
        <f t="shared" si="40"/>
        <v/>
      </c>
      <c r="U112" s="168" t="str">
        <f t="shared" si="41"/>
        <v/>
      </c>
      <c r="V112" s="168" t="str">
        <f t="shared" si="42"/>
        <v/>
      </c>
      <c r="W112" s="168" t="str">
        <f t="shared" si="43"/>
        <v/>
      </c>
      <c r="X112" s="168" t="str">
        <f>IFERROR(IF(B112&lt;=Age+B,IF(B112&lt;=Begin_Age,(SUM(U112:$U$124)+SUM(V112:$V$124)-SUM(W112:$W$124))/G112,0),""),"")</f>
        <v/>
      </c>
      <c r="Y112" s="168" t="str">
        <f t="shared" si="44"/>
        <v/>
      </c>
      <c r="Z112" s="168" t="str">
        <f t="shared" si="45"/>
        <v/>
      </c>
    </row>
    <row r="113" spans="1:26" x14ac:dyDescent="0.4">
      <c r="A113" s="168" t="str">
        <f t="shared" si="31"/>
        <v/>
      </c>
      <c r="B113" s="168" t="str">
        <f t="shared" si="46"/>
        <v/>
      </c>
      <c r="C113" s="168" t="str">
        <f ca="1">IFERROR(MIN(VLOOKUP(B113,INDIRECT("mort_alb_"&amp;Cover!$J$4),IF(Sex="M",2,3))/1000,1)*Mort_Int,"")</f>
        <v/>
      </c>
      <c r="D113" s="168" t="str">
        <f t="shared" ca="1" si="32"/>
        <v/>
      </c>
      <c r="E113" s="168" t="str">
        <f t="shared" si="33"/>
        <v/>
      </c>
      <c r="F113" s="168" t="str">
        <f t="shared" ca="1" si="34"/>
        <v/>
      </c>
      <c r="G113" s="168" t="str">
        <f t="shared" si="35"/>
        <v/>
      </c>
      <c r="H113" s="168" t="str">
        <f>Prem!H113</f>
        <v/>
      </c>
      <c r="I113" s="168" t="str">
        <f>Prem!I113</f>
        <v/>
      </c>
      <c r="J113" s="168" t="str">
        <f>Prem!J113</f>
        <v/>
      </c>
      <c r="K113" s="168" t="str">
        <f>Prem!K113</f>
        <v/>
      </c>
      <c r="L113" s="168" t="str">
        <f>Prem!L113</f>
        <v/>
      </c>
      <c r="M113" s="168" t="str">
        <f>Prem!M113</f>
        <v/>
      </c>
      <c r="N113" s="168" t="str">
        <f>IFERROR(IF(B113&lt;=Age+B,MAX(MIN(A113,PPP)*$E$10,CV!Z114+L114)*K113,""),"")</f>
        <v/>
      </c>
      <c r="O113" s="171" t="str" cm="1">
        <f t="array" ref="O113">IFERROR(IF(B113&lt;=Age+B,VLOOKUP(IF(PPP&lt;20,PPP,"20+"),Exp_load_CV,_xlfn.IFS(A113=1,1,A113=2,2,A113=3,3,AND(A113&gt;=4,A113&lt;=10),4,AND(A113&gt;=11,A113&lt;=PPP),5,A113&gt;PPP,6)+1,FALSE),""),"")</f>
        <v/>
      </c>
      <c r="P113" s="168" t="str">
        <f t="shared" si="36"/>
        <v/>
      </c>
      <c r="Q113" s="168" t="str">
        <f t="shared" si="37"/>
        <v/>
      </c>
      <c r="R113" s="168" t="str">
        <f t="shared" si="38"/>
        <v/>
      </c>
      <c r="S113" s="168" t="str">
        <f t="shared" si="39"/>
        <v/>
      </c>
      <c r="T113" s="168" t="str">
        <f t="shared" si="40"/>
        <v/>
      </c>
      <c r="U113" s="168" t="str">
        <f t="shared" si="41"/>
        <v/>
      </c>
      <c r="V113" s="168" t="str">
        <f t="shared" si="42"/>
        <v/>
      </c>
      <c r="W113" s="168" t="str">
        <f t="shared" si="43"/>
        <v/>
      </c>
      <c r="X113" s="168" t="str">
        <f>IFERROR(IF(B113&lt;=Age+B,IF(B113&lt;=Begin_Age,(SUM(U113:$U$124)+SUM(V113:$V$124)-SUM(W113:$W$124))/G113,0),""),"")</f>
        <v/>
      </c>
      <c r="Y113" s="168" t="str">
        <f t="shared" si="44"/>
        <v/>
      </c>
      <c r="Z113" s="168" t="str">
        <f t="shared" si="45"/>
        <v/>
      </c>
    </row>
    <row r="114" spans="1:26" x14ac:dyDescent="0.4">
      <c r="A114" s="168" t="str">
        <f t="shared" ref="A114:A123" si="47">IF(B114&lt;=Age+B,B114-Age+1,"")</f>
        <v/>
      </c>
      <c r="B114" s="168" t="str">
        <f t="shared" si="46"/>
        <v/>
      </c>
      <c r="C114" s="168" t="str">
        <f ca="1">IFERROR(MIN(VLOOKUP(B114,INDIRECT("mort_alb_"&amp;Cover!$J$4),IF(Sex="M",2,3))/1000,1)*Mort_Int,"")</f>
        <v/>
      </c>
      <c r="D114" s="168" t="str">
        <f t="shared" ca="1" si="32"/>
        <v/>
      </c>
      <c r="E114" s="168" t="str">
        <f t="shared" ref="E114:E123" si="48">IFERROR(IF(B114&lt;=Age+B,IF(A114=1,1,E113-D113),""),"")</f>
        <v/>
      </c>
      <c r="F114" s="168" t="str">
        <f t="shared" ref="F114:F123" ca="1" si="49">IFERROR(D114/(1+CV_Int)^(B114+1),"")</f>
        <v/>
      </c>
      <c r="G114" s="168" t="str">
        <f t="shared" ref="G114:G123" si="50">IFERROR(E114/(1+CV_Int)^B114,"")</f>
        <v/>
      </c>
      <c r="H114" s="168" t="str">
        <f>Prem!H114</f>
        <v/>
      </c>
      <c r="I114" s="168" t="str">
        <f>Prem!I114</f>
        <v/>
      </c>
      <c r="J114" s="168" t="str">
        <f>Prem!J114</f>
        <v/>
      </c>
      <c r="K114" s="168" t="str">
        <f>Prem!K114</f>
        <v/>
      </c>
      <c r="L114" s="168" t="str">
        <f>Prem!L114</f>
        <v/>
      </c>
      <c r="M114" s="168" t="str">
        <f>Prem!M114</f>
        <v/>
      </c>
      <c r="N114" s="168" t="str">
        <f>IFERROR(IF(B114&lt;=Age+B,MAX(MIN(A114,PPP)*$E$10,CV!Z115+L115)*K114,""),"")</f>
        <v/>
      </c>
      <c r="O114" s="171" t="str" cm="1">
        <f t="array" ref="O114">IFERROR(IF(B114&lt;=Age+B,VLOOKUP(IF(PPP&lt;20,PPP,"20+"),Exp_load_CV,_xlfn.IFS(A114=1,1,A114=2,2,A114=3,3,AND(A114&gt;=4,A114&lt;=10),4,AND(A114&gt;=11,A114&lt;=PPP),5,A114&gt;PPP,6)+1,FALSE),""),"")</f>
        <v/>
      </c>
      <c r="P114" s="168" t="str">
        <f t="shared" ref="P114:P123" si="51">IFERROR(IF(B114&lt;=Age+B,(M114+N114)*F114,""),"")</f>
        <v/>
      </c>
      <c r="Q114" s="168" t="str">
        <f t="shared" ref="Q114:Q123" si="52">IFERROR(IF(B114&lt;=Age+B,L114*G114,""),"")</f>
        <v/>
      </c>
      <c r="R114" s="168" t="str">
        <f t="shared" ref="R114:R123" si="53">IFERROR(IF(B114&lt;=Age+B,H114*G114,""),"")</f>
        <v/>
      </c>
      <c r="S114" s="168" t="str">
        <f t="shared" ref="S114:S123" si="54">IFERROR(IF(B114&lt;=Age+B,R114*O114,""),"")</f>
        <v/>
      </c>
      <c r="T114" s="168" t="str">
        <f t="shared" ref="T114:T123" si="55">IFERROR(IF(B114&lt;=Age+B,$E$10*(1-O114)*H114,""),"")</f>
        <v/>
      </c>
      <c r="U114" s="168" t="str">
        <f t="shared" ref="U114:U123" si="56">IFERROR(IF(B114&lt;=Age+B,(N114+M114)*F114,""),"")</f>
        <v/>
      </c>
      <c r="V114" s="168" t="str">
        <f t="shared" ref="V114:V123" si="57">IFERROR(IF(B114&lt;=Age+B,L114*G114,""),"")</f>
        <v/>
      </c>
      <c r="W114" s="168" t="str">
        <f t="shared" ref="W114:W123" si="58">IFERROR(IF(B114&lt;=Age+B,T114*R114,""),"")</f>
        <v/>
      </c>
      <c r="X114" s="168" t="str">
        <f>IFERROR(IF(B114&lt;=Age+B,IF(B114&lt;=Begin_Age,(SUM(U114:$U$124)+SUM(V114:$V$124)-SUM(W114:$W$124))/G114,0),""),"")</f>
        <v/>
      </c>
      <c r="Y114" s="168" t="str">
        <f t="shared" ref="Y114:Y123" si="59">IFERROR(IF(B114&lt;=Age+B,IF(A114&lt;MIN(20,PPP)+1,0.9+0.1*(A114-1)/MIN(20,PPP),1),""),"")</f>
        <v/>
      </c>
      <c r="Z114" s="168" t="str">
        <f t="shared" ref="Z114:Z123" si="60">IFERROR(IF(B114&lt;=Age+B,Y114*MAX(X114-L114,0),""),"")</f>
        <v/>
      </c>
    </row>
    <row r="115" spans="1:26" x14ac:dyDescent="0.4">
      <c r="A115" s="168" t="str">
        <f t="shared" si="47"/>
        <v/>
      </c>
      <c r="B115" s="168" t="str">
        <f t="shared" ref="B115:B123" si="61">IFERROR(IF(AND(Age&gt;=0,Age&lt;=60),IF(B114+1&lt;=Age+B,B114+1,""),""),"")</f>
        <v/>
      </c>
      <c r="C115" s="168" t="str">
        <f ca="1">IFERROR(MIN(VLOOKUP(B115,INDIRECT("mort_alb_"&amp;Cover!$J$4),IF(Sex="M",2,3))/1000,1)*Mort_Int,"")</f>
        <v/>
      </c>
      <c r="D115" s="168" t="str">
        <f t="shared" ca="1" si="32"/>
        <v/>
      </c>
      <c r="E115" s="168" t="str">
        <f t="shared" si="48"/>
        <v/>
      </c>
      <c r="F115" s="168" t="str">
        <f t="shared" ca="1" si="49"/>
        <v/>
      </c>
      <c r="G115" s="168" t="str">
        <f t="shared" si="50"/>
        <v/>
      </c>
      <c r="H115" s="168" t="str">
        <f>Prem!H115</f>
        <v/>
      </c>
      <c r="I115" s="168" t="str">
        <f>Prem!I115</f>
        <v/>
      </c>
      <c r="J115" s="168" t="str">
        <f>Prem!J115</f>
        <v/>
      </c>
      <c r="K115" s="168" t="str">
        <f>Prem!K115</f>
        <v/>
      </c>
      <c r="L115" s="168" t="str">
        <f>Prem!L115</f>
        <v/>
      </c>
      <c r="M115" s="168" t="str">
        <f>Prem!M115</f>
        <v/>
      </c>
      <c r="N115" s="168" t="str">
        <f>IFERROR(IF(B115&lt;=Age+B,MAX(MIN(A115,PPP)*$E$10,CV!Z116+L116)*K115,""),"")</f>
        <v/>
      </c>
      <c r="O115" s="171" t="str" cm="1">
        <f t="array" ref="O115">IFERROR(IF(B115&lt;=Age+B,VLOOKUP(IF(PPP&lt;20,PPP,"20+"),Exp_load_CV,_xlfn.IFS(A115=1,1,A115=2,2,A115=3,3,AND(A115&gt;=4,A115&lt;=10),4,AND(A115&gt;=11,A115&lt;=PPP),5,A115&gt;PPP,6)+1,FALSE),""),"")</f>
        <v/>
      </c>
      <c r="P115" s="168" t="str">
        <f t="shared" si="51"/>
        <v/>
      </c>
      <c r="Q115" s="168" t="str">
        <f t="shared" si="52"/>
        <v/>
      </c>
      <c r="R115" s="168" t="str">
        <f t="shared" si="53"/>
        <v/>
      </c>
      <c r="S115" s="168" t="str">
        <f t="shared" si="54"/>
        <v/>
      </c>
      <c r="T115" s="168" t="str">
        <f t="shared" si="55"/>
        <v/>
      </c>
      <c r="U115" s="168" t="str">
        <f t="shared" si="56"/>
        <v/>
      </c>
      <c r="V115" s="168" t="str">
        <f t="shared" si="57"/>
        <v/>
      </c>
      <c r="W115" s="168" t="str">
        <f t="shared" si="58"/>
        <v/>
      </c>
      <c r="X115" s="168" t="str">
        <f>IFERROR(IF(B115&lt;=Age+B,IF(B115&lt;=Begin_Age,(SUM(U115:$U$124)+SUM(V115:$V$124)-SUM(W115:$W$124))/G115,0),""),"")</f>
        <v/>
      </c>
      <c r="Y115" s="168" t="str">
        <f t="shared" si="59"/>
        <v/>
      </c>
      <c r="Z115" s="168" t="str">
        <f t="shared" si="60"/>
        <v/>
      </c>
    </row>
    <row r="116" spans="1:26" x14ac:dyDescent="0.4">
      <c r="A116" s="168" t="str">
        <f t="shared" si="47"/>
        <v/>
      </c>
      <c r="B116" s="168" t="str">
        <f t="shared" si="61"/>
        <v/>
      </c>
      <c r="C116" s="168" t="str">
        <f ca="1">IFERROR(MIN(VLOOKUP(B116,INDIRECT("mort_alb_"&amp;Cover!$J$4),IF(Sex="M",2,3))/1000,1)*Mort_Int,"")</f>
        <v/>
      </c>
      <c r="D116" s="168" t="str">
        <f t="shared" ca="1" si="32"/>
        <v/>
      </c>
      <c r="E116" s="168" t="str">
        <f t="shared" si="48"/>
        <v/>
      </c>
      <c r="F116" s="168" t="str">
        <f t="shared" ca="1" si="49"/>
        <v/>
      </c>
      <c r="G116" s="168" t="str">
        <f t="shared" si="50"/>
        <v/>
      </c>
      <c r="H116" s="168" t="str">
        <f>Prem!H116</f>
        <v/>
      </c>
      <c r="I116" s="168" t="str">
        <f>Prem!I116</f>
        <v/>
      </c>
      <c r="J116" s="168" t="str">
        <f>Prem!J116</f>
        <v/>
      </c>
      <c r="K116" s="168" t="str">
        <f>Prem!K116</f>
        <v/>
      </c>
      <c r="L116" s="168" t="str">
        <f>Prem!L116</f>
        <v/>
      </c>
      <c r="M116" s="168" t="str">
        <f>Prem!M116</f>
        <v/>
      </c>
      <c r="N116" s="168" t="str">
        <f>IFERROR(IF(B116&lt;=Age+B,MAX(MIN(A116,PPP)*$E$10,CV!Z117+L117)*K116,""),"")</f>
        <v/>
      </c>
      <c r="O116" s="171" t="str" cm="1">
        <f t="array" ref="O116">IFERROR(IF(B116&lt;=Age+B,VLOOKUP(IF(PPP&lt;20,PPP,"20+"),Exp_load_CV,_xlfn.IFS(A116=1,1,A116=2,2,A116=3,3,AND(A116&gt;=4,A116&lt;=10),4,AND(A116&gt;=11,A116&lt;=PPP),5,A116&gt;PPP,6)+1,FALSE),""),"")</f>
        <v/>
      </c>
      <c r="P116" s="168" t="str">
        <f t="shared" si="51"/>
        <v/>
      </c>
      <c r="Q116" s="168" t="str">
        <f t="shared" si="52"/>
        <v/>
      </c>
      <c r="R116" s="168" t="str">
        <f t="shared" si="53"/>
        <v/>
      </c>
      <c r="S116" s="168" t="str">
        <f t="shared" si="54"/>
        <v/>
      </c>
      <c r="T116" s="168" t="str">
        <f t="shared" si="55"/>
        <v/>
      </c>
      <c r="U116" s="168" t="str">
        <f t="shared" si="56"/>
        <v/>
      </c>
      <c r="V116" s="168" t="str">
        <f t="shared" si="57"/>
        <v/>
      </c>
      <c r="W116" s="168" t="str">
        <f t="shared" si="58"/>
        <v/>
      </c>
      <c r="X116" s="168" t="str">
        <f>IFERROR(IF(B116&lt;=Age+B,IF(B116&lt;=Begin_Age,(SUM(U116:$U$124)+SUM(V116:$V$124)-SUM(W116:$W$124))/G116,0),""),"")</f>
        <v/>
      </c>
      <c r="Y116" s="168" t="str">
        <f t="shared" si="59"/>
        <v/>
      </c>
      <c r="Z116" s="168" t="str">
        <f t="shared" si="60"/>
        <v/>
      </c>
    </row>
    <row r="117" spans="1:26" x14ac:dyDescent="0.4">
      <c r="A117" s="168" t="str">
        <f t="shared" si="47"/>
        <v/>
      </c>
      <c r="B117" s="168" t="str">
        <f t="shared" si="61"/>
        <v/>
      </c>
      <c r="C117" s="168" t="str">
        <f ca="1">IFERROR(MIN(VLOOKUP(B117,INDIRECT("mort_alb_"&amp;Cover!$J$4),IF(Sex="M",2,3))/1000,1)*Mort_Int,"")</f>
        <v/>
      </c>
      <c r="D117" s="168" t="str">
        <f t="shared" ca="1" si="32"/>
        <v/>
      </c>
      <c r="E117" s="168" t="str">
        <f t="shared" si="48"/>
        <v/>
      </c>
      <c r="F117" s="168" t="str">
        <f t="shared" ca="1" si="49"/>
        <v/>
      </c>
      <c r="G117" s="168" t="str">
        <f t="shared" si="50"/>
        <v/>
      </c>
      <c r="H117" s="168" t="str">
        <f>Prem!H117</f>
        <v/>
      </c>
      <c r="I117" s="168" t="str">
        <f>Prem!I117</f>
        <v/>
      </c>
      <c r="J117" s="168" t="str">
        <f>Prem!J117</f>
        <v/>
      </c>
      <c r="K117" s="168" t="str">
        <f>Prem!K117</f>
        <v/>
      </c>
      <c r="L117" s="168" t="str">
        <f>Prem!L117</f>
        <v/>
      </c>
      <c r="M117" s="168" t="str">
        <f>Prem!M117</f>
        <v/>
      </c>
      <c r="N117" s="168" t="str">
        <f>IFERROR(IF(B117&lt;=Age+B,MAX(MIN(A117,PPP)*$E$10,CV!Z118+L118)*K117,""),"")</f>
        <v/>
      </c>
      <c r="O117" s="171" t="str" cm="1">
        <f t="array" ref="O117">IFERROR(IF(B117&lt;=Age+B,VLOOKUP(IF(PPP&lt;20,PPP,"20+"),Exp_load_CV,_xlfn.IFS(A117=1,1,A117=2,2,A117=3,3,AND(A117&gt;=4,A117&lt;=10),4,AND(A117&gt;=11,A117&lt;=PPP),5,A117&gt;PPP,6)+1,FALSE),""),"")</f>
        <v/>
      </c>
      <c r="P117" s="168" t="str">
        <f t="shared" si="51"/>
        <v/>
      </c>
      <c r="Q117" s="168" t="str">
        <f t="shared" si="52"/>
        <v/>
      </c>
      <c r="R117" s="168" t="str">
        <f t="shared" si="53"/>
        <v/>
      </c>
      <c r="S117" s="168" t="str">
        <f t="shared" si="54"/>
        <v/>
      </c>
      <c r="T117" s="168" t="str">
        <f t="shared" si="55"/>
        <v/>
      </c>
      <c r="U117" s="168" t="str">
        <f t="shared" si="56"/>
        <v/>
      </c>
      <c r="V117" s="168" t="str">
        <f t="shared" si="57"/>
        <v/>
      </c>
      <c r="W117" s="168" t="str">
        <f t="shared" si="58"/>
        <v/>
      </c>
      <c r="X117" s="168" t="str">
        <f>IFERROR(IF(B117&lt;=Age+B,IF(B117&lt;=Begin_Age,(SUM(U117:$U$124)+SUM(V117:$V$124)-SUM(W117:$W$124))/G117,0),""),"")</f>
        <v/>
      </c>
      <c r="Y117" s="168" t="str">
        <f t="shared" si="59"/>
        <v/>
      </c>
      <c r="Z117" s="168" t="str">
        <f t="shared" si="60"/>
        <v/>
      </c>
    </row>
    <row r="118" spans="1:26" x14ac:dyDescent="0.4">
      <c r="A118" s="168" t="str">
        <f t="shared" si="47"/>
        <v/>
      </c>
      <c r="B118" s="168" t="str">
        <f t="shared" si="61"/>
        <v/>
      </c>
      <c r="C118" s="168" t="str">
        <f ca="1">IFERROR(MIN(VLOOKUP(B118,INDIRECT("mort_alb_"&amp;Cover!$J$4),IF(Sex="M",2,3))/1000,1)*Mort_Int,"")</f>
        <v/>
      </c>
      <c r="D118" s="168" t="str">
        <f t="shared" ca="1" si="32"/>
        <v/>
      </c>
      <c r="E118" s="168" t="str">
        <f t="shared" si="48"/>
        <v/>
      </c>
      <c r="F118" s="168" t="str">
        <f t="shared" ca="1" si="49"/>
        <v/>
      </c>
      <c r="G118" s="168" t="str">
        <f t="shared" si="50"/>
        <v/>
      </c>
      <c r="H118" s="168" t="str">
        <f>Prem!H118</f>
        <v/>
      </c>
      <c r="I118" s="168" t="str">
        <f>Prem!I118</f>
        <v/>
      </c>
      <c r="J118" s="168" t="str">
        <f>Prem!J118</f>
        <v/>
      </c>
      <c r="K118" s="168" t="str">
        <f>Prem!K118</f>
        <v/>
      </c>
      <c r="L118" s="168" t="str">
        <f>Prem!L118</f>
        <v/>
      </c>
      <c r="M118" s="168" t="str">
        <f>Prem!M118</f>
        <v/>
      </c>
      <c r="N118" s="168" t="str">
        <f>IFERROR(IF(B118&lt;=Age+B,MAX(MIN(A118,PPP)*$E$10,CV!Z119+L119)*K118,""),"")</f>
        <v/>
      </c>
      <c r="O118" s="171" t="str" cm="1">
        <f t="array" ref="O118">IFERROR(IF(B118&lt;=Age+B,VLOOKUP(IF(PPP&lt;20,PPP,"20+"),Exp_load_CV,_xlfn.IFS(A118=1,1,A118=2,2,A118=3,3,AND(A118&gt;=4,A118&lt;=10),4,AND(A118&gt;=11,A118&lt;=PPP),5,A118&gt;PPP,6)+1,FALSE),""),"")</f>
        <v/>
      </c>
      <c r="P118" s="168" t="str">
        <f t="shared" si="51"/>
        <v/>
      </c>
      <c r="Q118" s="168" t="str">
        <f t="shared" si="52"/>
        <v/>
      </c>
      <c r="R118" s="168" t="str">
        <f t="shared" si="53"/>
        <v/>
      </c>
      <c r="S118" s="168" t="str">
        <f t="shared" si="54"/>
        <v/>
      </c>
      <c r="T118" s="168" t="str">
        <f t="shared" si="55"/>
        <v/>
      </c>
      <c r="U118" s="168" t="str">
        <f t="shared" si="56"/>
        <v/>
      </c>
      <c r="V118" s="168" t="str">
        <f t="shared" si="57"/>
        <v/>
      </c>
      <c r="W118" s="168" t="str">
        <f t="shared" si="58"/>
        <v/>
      </c>
      <c r="X118" s="168" t="str">
        <f>IFERROR(IF(B118&lt;=Age+B,IF(B118&lt;=Begin_Age,(SUM(U118:$U$124)+SUM(V118:$V$124)-SUM(W118:$W$124))/G118,0),""),"")</f>
        <v/>
      </c>
      <c r="Y118" s="168" t="str">
        <f t="shared" si="59"/>
        <v/>
      </c>
      <c r="Z118" s="168" t="str">
        <f t="shared" si="60"/>
        <v/>
      </c>
    </row>
    <row r="119" spans="1:26" x14ac:dyDescent="0.4">
      <c r="A119" s="168" t="str">
        <f t="shared" si="47"/>
        <v/>
      </c>
      <c r="B119" s="168" t="str">
        <f t="shared" si="61"/>
        <v/>
      </c>
      <c r="C119" s="168" t="str">
        <f ca="1">IFERROR(MIN(VLOOKUP(B119,INDIRECT("mort_alb_"&amp;Cover!$J$4),IF(Sex="M",2,3))/1000,1)*Mort_Int,"")</f>
        <v/>
      </c>
      <c r="D119" s="168" t="str">
        <f t="shared" ca="1" si="32"/>
        <v/>
      </c>
      <c r="E119" s="168" t="str">
        <f t="shared" si="48"/>
        <v/>
      </c>
      <c r="F119" s="168" t="str">
        <f t="shared" ca="1" si="49"/>
        <v/>
      </c>
      <c r="G119" s="168" t="str">
        <f t="shared" si="50"/>
        <v/>
      </c>
      <c r="H119" s="168" t="str">
        <f>Prem!H119</f>
        <v/>
      </c>
      <c r="I119" s="168" t="str">
        <f>Prem!I119</f>
        <v/>
      </c>
      <c r="J119" s="168" t="str">
        <f>Prem!J119</f>
        <v/>
      </c>
      <c r="K119" s="168" t="str">
        <f>Prem!K119</f>
        <v/>
      </c>
      <c r="L119" s="168" t="str">
        <f>Prem!L119</f>
        <v/>
      </c>
      <c r="M119" s="168" t="str">
        <f>Prem!M119</f>
        <v/>
      </c>
      <c r="N119" s="168" t="str">
        <f>IFERROR(IF(B119&lt;=Age+B,MAX(MIN(A119,PPP)*$E$10,CV!Z120+L120)*K119,""),"")</f>
        <v/>
      </c>
      <c r="O119" s="171" t="str" cm="1">
        <f t="array" ref="O119">IFERROR(IF(B119&lt;=Age+B,VLOOKUP(IF(PPP&lt;20,PPP,"20+"),Exp_load_CV,_xlfn.IFS(A119=1,1,A119=2,2,A119=3,3,AND(A119&gt;=4,A119&lt;=10),4,AND(A119&gt;=11,A119&lt;=PPP),5,A119&gt;PPP,6)+1,FALSE),""),"")</f>
        <v/>
      </c>
      <c r="P119" s="168" t="str">
        <f t="shared" si="51"/>
        <v/>
      </c>
      <c r="Q119" s="168" t="str">
        <f t="shared" si="52"/>
        <v/>
      </c>
      <c r="R119" s="168" t="str">
        <f t="shared" si="53"/>
        <v/>
      </c>
      <c r="S119" s="168" t="str">
        <f t="shared" si="54"/>
        <v/>
      </c>
      <c r="T119" s="168" t="str">
        <f t="shared" si="55"/>
        <v/>
      </c>
      <c r="U119" s="168" t="str">
        <f t="shared" si="56"/>
        <v/>
      </c>
      <c r="V119" s="168" t="str">
        <f t="shared" si="57"/>
        <v/>
      </c>
      <c r="W119" s="168" t="str">
        <f t="shared" si="58"/>
        <v/>
      </c>
      <c r="X119" s="168" t="str">
        <f>IFERROR(IF(B119&lt;=Age+B,IF(B119&lt;=Begin_Age,(SUM(U119:$U$124)+SUM(V119:$V$124)-SUM(W119:$W$124))/G119,0),""),"")</f>
        <v/>
      </c>
      <c r="Y119" s="168" t="str">
        <f t="shared" si="59"/>
        <v/>
      </c>
      <c r="Z119" s="168" t="str">
        <f t="shared" si="60"/>
        <v/>
      </c>
    </row>
    <row r="120" spans="1:26" x14ac:dyDescent="0.4">
      <c r="A120" s="168" t="str">
        <f t="shared" si="47"/>
        <v/>
      </c>
      <c r="B120" s="168" t="str">
        <f t="shared" si="61"/>
        <v/>
      </c>
      <c r="C120" s="168" t="str">
        <f ca="1">IFERROR(MIN(VLOOKUP(B120,INDIRECT("mort_alb_"&amp;Cover!$J$4),IF(Sex="M",2,3))/1000,1)*Mort_Int,"")</f>
        <v/>
      </c>
      <c r="D120" s="168" t="str">
        <f t="shared" ca="1" si="32"/>
        <v/>
      </c>
      <c r="E120" s="168" t="str">
        <f t="shared" si="48"/>
        <v/>
      </c>
      <c r="F120" s="168" t="str">
        <f t="shared" ca="1" si="49"/>
        <v/>
      </c>
      <c r="G120" s="168" t="str">
        <f t="shared" si="50"/>
        <v/>
      </c>
      <c r="H120" s="168" t="str">
        <f>Prem!H120</f>
        <v/>
      </c>
      <c r="I120" s="168" t="str">
        <f>Prem!I120</f>
        <v/>
      </c>
      <c r="J120" s="168" t="str">
        <f>Prem!J120</f>
        <v/>
      </c>
      <c r="K120" s="168" t="str">
        <f>Prem!K120</f>
        <v/>
      </c>
      <c r="L120" s="168" t="str">
        <f>Prem!L120</f>
        <v/>
      </c>
      <c r="M120" s="168" t="str">
        <f>Prem!M120</f>
        <v/>
      </c>
      <c r="N120" s="168" t="str">
        <f>IFERROR(IF(B120&lt;=Age+B,MAX(MIN(A120,PPP)*$E$10,CV!Z121+L121)*K120,""),"")</f>
        <v/>
      </c>
      <c r="O120" s="171" t="str" cm="1">
        <f t="array" ref="O120">IFERROR(IF(B120&lt;=Age+B,VLOOKUP(IF(PPP&lt;20,PPP,"20+"),Exp_load_CV,_xlfn.IFS(A120=1,1,A120=2,2,A120=3,3,AND(A120&gt;=4,A120&lt;=10),4,AND(A120&gt;=11,A120&lt;=PPP),5,A120&gt;PPP,6)+1,FALSE),""),"")</f>
        <v/>
      </c>
      <c r="P120" s="168" t="str">
        <f t="shared" si="51"/>
        <v/>
      </c>
      <c r="Q120" s="168" t="str">
        <f t="shared" si="52"/>
        <v/>
      </c>
      <c r="R120" s="168" t="str">
        <f t="shared" si="53"/>
        <v/>
      </c>
      <c r="S120" s="168" t="str">
        <f t="shared" si="54"/>
        <v/>
      </c>
      <c r="T120" s="168" t="str">
        <f t="shared" si="55"/>
        <v/>
      </c>
      <c r="U120" s="168" t="str">
        <f t="shared" si="56"/>
        <v/>
      </c>
      <c r="V120" s="168" t="str">
        <f t="shared" si="57"/>
        <v/>
      </c>
      <c r="W120" s="168" t="str">
        <f t="shared" si="58"/>
        <v/>
      </c>
      <c r="X120" s="168" t="str">
        <f>IFERROR(IF(B120&lt;=Age+B,IF(B120&lt;=Begin_Age,(SUM(U120:$U$124)+SUM(V120:$V$124)-SUM(W120:$W$124))/G120,0),""),"")</f>
        <v/>
      </c>
      <c r="Y120" s="168" t="str">
        <f t="shared" si="59"/>
        <v/>
      </c>
      <c r="Z120" s="168" t="str">
        <f t="shared" si="60"/>
        <v/>
      </c>
    </row>
    <row r="121" spans="1:26" x14ac:dyDescent="0.4">
      <c r="A121" s="168" t="str">
        <f t="shared" si="47"/>
        <v/>
      </c>
      <c r="B121" s="168" t="str">
        <f t="shared" si="61"/>
        <v/>
      </c>
      <c r="C121" s="168" t="str">
        <f ca="1">IFERROR(MIN(VLOOKUP(B121,INDIRECT("mort_alb_"&amp;Cover!$J$4),IF(Sex="M",2,3))/1000,1)*Mort_Int,"")</f>
        <v/>
      </c>
      <c r="D121" s="168" t="str">
        <f t="shared" ca="1" si="32"/>
        <v/>
      </c>
      <c r="E121" s="168" t="str">
        <f t="shared" si="48"/>
        <v/>
      </c>
      <c r="F121" s="168" t="str">
        <f t="shared" ca="1" si="49"/>
        <v/>
      </c>
      <c r="G121" s="168" t="str">
        <f t="shared" si="50"/>
        <v/>
      </c>
      <c r="H121" s="168" t="str">
        <f>Prem!H121</f>
        <v/>
      </c>
      <c r="I121" s="168" t="str">
        <f>Prem!I121</f>
        <v/>
      </c>
      <c r="J121" s="168" t="str">
        <f>Prem!J121</f>
        <v/>
      </c>
      <c r="K121" s="168" t="str">
        <f>Prem!K121</f>
        <v/>
      </c>
      <c r="L121" s="168" t="str">
        <f>Prem!L121</f>
        <v/>
      </c>
      <c r="M121" s="168" t="str">
        <f>Prem!M121</f>
        <v/>
      </c>
      <c r="N121" s="168" t="str">
        <f>IFERROR(IF(B121&lt;=Age+B,MAX(MIN(A121,PPP)*$E$10,CV!Z122+L122)*K121,""),"")</f>
        <v/>
      </c>
      <c r="O121" s="171" t="str" cm="1">
        <f t="array" ref="O121">IFERROR(IF(B121&lt;=Age+B,VLOOKUP(IF(PPP&lt;20,PPP,"20+"),Exp_load_CV,_xlfn.IFS(A121=1,1,A121=2,2,A121=3,3,AND(A121&gt;=4,A121&lt;=10),4,AND(A121&gt;=11,A121&lt;=PPP),5,A121&gt;PPP,6)+1,FALSE),""),"")</f>
        <v/>
      </c>
      <c r="P121" s="168" t="str">
        <f t="shared" si="51"/>
        <v/>
      </c>
      <c r="Q121" s="168" t="str">
        <f t="shared" si="52"/>
        <v/>
      </c>
      <c r="R121" s="168" t="str">
        <f t="shared" si="53"/>
        <v/>
      </c>
      <c r="S121" s="168" t="str">
        <f t="shared" si="54"/>
        <v/>
      </c>
      <c r="T121" s="168" t="str">
        <f t="shared" si="55"/>
        <v/>
      </c>
      <c r="U121" s="168" t="str">
        <f t="shared" si="56"/>
        <v/>
      </c>
      <c r="V121" s="168" t="str">
        <f t="shared" si="57"/>
        <v/>
      </c>
      <c r="W121" s="168" t="str">
        <f t="shared" si="58"/>
        <v/>
      </c>
      <c r="X121" s="168" t="str">
        <f>IFERROR(IF(B121&lt;=Age+B,IF(B121&lt;=Begin_Age,(SUM(U121:$U$124)+SUM(V121:$V$124)-SUM(W121:$W$124))/G121,0),""),"")</f>
        <v/>
      </c>
      <c r="Y121" s="168" t="str">
        <f t="shared" si="59"/>
        <v/>
      </c>
      <c r="Z121" s="168" t="str">
        <f t="shared" si="60"/>
        <v/>
      </c>
    </row>
    <row r="122" spans="1:26" x14ac:dyDescent="0.4">
      <c r="A122" s="168" t="str">
        <f t="shared" si="47"/>
        <v/>
      </c>
      <c r="B122" s="168" t="str">
        <f t="shared" si="61"/>
        <v/>
      </c>
      <c r="C122" s="168" t="str">
        <f ca="1">IFERROR(MIN(VLOOKUP(B122,INDIRECT("mort_alb_"&amp;Cover!$J$4),IF(Sex="M",2,3))/1000,1)*Mort_Int,"")</f>
        <v/>
      </c>
      <c r="D122" s="168" t="str">
        <f t="shared" ca="1" si="32"/>
        <v/>
      </c>
      <c r="E122" s="168" t="str">
        <f t="shared" si="48"/>
        <v/>
      </c>
      <c r="F122" s="168" t="str">
        <f t="shared" ca="1" si="49"/>
        <v/>
      </c>
      <c r="G122" s="168" t="str">
        <f t="shared" si="50"/>
        <v/>
      </c>
      <c r="H122" s="168" t="str">
        <f>Prem!H122</f>
        <v/>
      </c>
      <c r="I122" s="168" t="str">
        <f>Prem!I122</f>
        <v/>
      </c>
      <c r="J122" s="168" t="str">
        <f>Prem!J122</f>
        <v/>
      </c>
      <c r="K122" s="168" t="str">
        <f>Prem!K122</f>
        <v/>
      </c>
      <c r="L122" s="168" t="str">
        <f>Prem!L122</f>
        <v/>
      </c>
      <c r="M122" s="168" t="str">
        <f>Prem!M122</f>
        <v/>
      </c>
      <c r="N122" s="168" t="str">
        <f>IFERROR(IF(B122&lt;=Age+B,MAX(MIN(A122,PPP)*$E$10,CV!Z123+L123)*K122,""),"")</f>
        <v/>
      </c>
      <c r="O122" s="171" t="str" cm="1">
        <f t="array" ref="O122">IFERROR(IF(B122&lt;=Age+B,VLOOKUP(IF(PPP&lt;20,PPP,"20+"),Exp_load_CV,_xlfn.IFS(A122=1,1,A122=2,2,A122=3,3,AND(A122&gt;=4,A122&lt;=10),4,AND(A122&gt;=11,A122&lt;=PPP),5,A122&gt;PPP,6)+1,FALSE),""),"")</f>
        <v/>
      </c>
      <c r="P122" s="168" t="str">
        <f t="shared" si="51"/>
        <v/>
      </c>
      <c r="Q122" s="168" t="str">
        <f t="shared" si="52"/>
        <v/>
      </c>
      <c r="R122" s="168" t="str">
        <f t="shared" si="53"/>
        <v/>
      </c>
      <c r="S122" s="168" t="str">
        <f t="shared" si="54"/>
        <v/>
      </c>
      <c r="T122" s="168" t="str">
        <f t="shared" si="55"/>
        <v/>
      </c>
      <c r="U122" s="168" t="str">
        <f t="shared" si="56"/>
        <v/>
      </c>
      <c r="V122" s="168" t="str">
        <f t="shared" si="57"/>
        <v/>
      </c>
      <c r="W122" s="168" t="str">
        <f t="shared" si="58"/>
        <v/>
      </c>
      <c r="X122" s="168" t="str">
        <f>IFERROR(IF(B122&lt;=Age+B,IF(B122&lt;=Begin_Age,(SUM(U122:$U$124)+SUM(V122:$V$124)-SUM(W122:$W$124))/G122,0),""),"")</f>
        <v/>
      </c>
      <c r="Y122" s="168" t="str">
        <f t="shared" si="59"/>
        <v/>
      </c>
      <c r="Z122" s="168" t="str">
        <f t="shared" si="60"/>
        <v/>
      </c>
    </row>
    <row r="123" spans="1:26" x14ac:dyDescent="0.4">
      <c r="A123" s="168" t="str">
        <f t="shared" si="47"/>
        <v/>
      </c>
      <c r="B123" s="168" t="str">
        <f t="shared" si="61"/>
        <v/>
      </c>
      <c r="C123" s="168" t="str">
        <f ca="1">IFERROR(MIN(VLOOKUP(B123,INDIRECT("mort_alb_"&amp;Cover!$J$4),IF(Sex="M",2,3))/1000,1)*Mort_Int,"")</f>
        <v/>
      </c>
      <c r="D123" s="168" t="str">
        <f t="shared" ca="1" si="32"/>
        <v/>
      </c>
      <c r="E123" s="168" t="str">
        <f t="shared" si="48"/>
        <v/>
      </c>
      <c r="F123" s="168" t="str">
        <f t="shared" ca="1" si="49"/>
        <v/>
      </c>
      <c r="G123" s="168" t="str">
        <f t="shared" si="50"/>
        <v/>
      </c>
      <c r="H123" s="168" t="str">
        <f>Prem!H123</f>
        <v/>
      </c>
      <c r="I123" s="168" t="str">
        <f>Prem!I123</f>
        <v/>
      </c>
      <c r="J123" s="168" t="str">
        <f>Prem!J123</f>
        <v/>
      </c>
      <c r="K123" s="168" t="str">
        <f>Prem!K123</f>
        <v/>
      </c>
      <c r="L123" s="168" t="str">
        <f>Prem!L123</f>
        <v/>
      </c>
      <c r="M123" s="168" t="str">
        <f>Prem!M123</f>
        <v/>
      </c>
      <c r="N123" s="168" t="str">
        <f>IFERROR(IF(B123&lt;=Age+B,MAX(MIN(A123,PPP)*$E$10,CV!Z124+L124)*K123,""),"")</f>
        <v/>
      </c>
      <c r="O123" s="171" t="str" cm="1">
        <f t="array" ref="O123">IFERROR(IF(B123&lt;=Age+B,VLOOKUP(IF(PPP&lt;20,PPP,"20+"),Exp_load_CV,_xlfn.IFS(A123=1,1,A123=2,2,A123=3,3,AND(A123&gt;=4,A123&lt;=10),4,AND(A123&gt;=11,A123&lt;=PPP),5,A123&gt;PPP,6)+1,FALSE),""),"")</f>
        <v/>
      </c>
      <c r="P123" s="168" t="str">
        <f t="shared" si="51"/>
        <v/>
      </c>
      <c r="Q123" s="168" t="str">
        <f t="shared" si="52"/>
        <v/>
      </c>
      <c r="R123" s="168" t="str">
        <f t="shared" si="53"/>
        <v/>
      </c>
      <c r="S123" s="168" t="str">
        <f t="shared" si="54"/>
        <v/>
      </c>
      <c r="T123" s="168" t="str">
        <f t="shared" si="55"/>
        <v/>
      </c>
      <c r="U123" s="168" t="str">
        <f t="shared" si="56"/>
        <v/>
      </c>
      <c r="V123" s="168" t="str">
        <f t="shared" si="57"/>
        <v/>
      </c>
      <c r="W123" s="168" t="str">
        <f t="shared" si="58"/>
        <v/>
      </c>
      <c r="X123" s="168" t="str">
        <f>IFERROR(IF(B123&lt;=Age+B,IF(B123&lt;=Begin_Age,(SUM(U123:$U$124)+SUM(V123:$V$124)-SUM(W123:$W$124))/G123,0),""),"")</f>
        <v/>
      </c>
      <c r="Y123" s="168" t="str">
        <f t="shared" si="59"/>
        <v/>
      </c>
      <c r="Z123" s="168" t="str">
        <f t="shared" si="60"/>
        <v/>
      </c>
    </row>
  </sheetData>
  <mergeCells count="8">
    <mergeCell ref="F15:G15"/>
    <mergeCell ref="H15:S15"/>
    <mergeCell ref="T15:Z15"/>
    <mergeCell ref="B1:E1"/>
    <mergeCell ref="B9:C9"/>
    <mergeCell ref="B10:C10"/>
    <mergeCell ref="B11:C11"/>
    <mergeCell ref="D15:E15"/>
  </mergeCells>
  <phoneticPr fontId="3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66"/>
  <sheetViews>
    <sheetView zoomScale="85" zoomScaleNormal="85" workbookViewId="0">
      <selection activeCell="K4" sqref="K4"/>
    </sheetView>
  </sheetViews>
  <sheetFormatPr defaultColWidth="9" defaultRowHeight="15.75" x14ac:dyDescent="0.4"/>
  <cols>
    <col min="1" max="10" width="9" style="2"/>
    <col min="11" max="11" width="18.5" style="2" customWidth="1"/>
    <col min="12" max="16384" width="9" style="2"/>
  </cols>
  <sheetData>
    <row r="1" spans="1:11" x14ac:dyDescent="0.4">
      <c r="A1" s="211" t="str">
        <f>"中财人寿养老年金（终身型）费率表（每"&amp;Face_Amt&amp;"元基本保险金额对应的趸交或年交保费）"</f>
        <v>中财人寿养老年金（终身型）费率表（每1000元基本保险金额对应的趸交或年交保费）</v>
      </c>
      <c r="B1" s="212"/>
      <c r="C1" s="212"/>
      <c r="D1" s="212"/>
      <c r="E1" s="212"/>
      <c r="F1" s="212"/>
      <c r="G1" s="212"/>
      <c r="H1" s="212"/>
      <c r="I1" s="212"/>
      <c r="J1" s="212"/>
      <c r="K1" s="213"/>
    </row>
    <row r="2" spans="1:11" x14ac:dyDescent="0.4">
      <c r="A2" s="214"/>
      <c r="B2" s="215"/>
      <c r="C2" s="215"/>
      <c r="D2" s="215"/>
      <c r="E2" s="215"/>
      <c r="F2" s="215"/>
      <c r="G2" s="215"/>
      <c r="H2" s="215"/>
      <c r="I2" s="215"/>
      <c r="J2" s="209"/>
      <c r="K2" s="210"/>
    </row>
    <row r="3" spans="1:11" x14ac:dyDescent="0.4">
      <c r="A3" s="227" t="s">
        <v>4</v>
      </c>
      <c r="B3" s="228" t="s">
        <v>130</v>
      </c>
      <c r="C3" s="228"/>
      <c r="D3" s="228" t="s">
        <v>131</v>
      </c>
      <c r="E3" s="228"/>
      <c r="F3" s="228" t="s">
        <v>164</v>
      </c>
      <c r="G3" s="228"/>
      <c r="H3" s="228" t="s">
        <v>132</v>
      </c>
      <c r="I3" s="229"/>
    </row>
    <row r="4" spans="1:11" x14ac:dyDescent="0.4">
      <c r="A4" s="222"/>
      <c r="B4" s="223" t="s">
        <v>133</v>
      </c>
      <c r="C4" s="223" t="s">
        <v>134</v>
      </c>
      <c r="D4" s="223" t="s">
        <v>133</v>
      </c>
      <c r="E4" s="223" t="s">
        <v>134</v>
      </c>
      <c r="F4" s="223" t="s">
        <v>133</v>
      </c>
      <c r="G4" s="223" t="s">
        <v>134</v>
      </c>
      <c r="H4" s="223" t="s">
        <v>133</v>
      </c>
      <c r="I4" s="224" t="s">
        <v>134</v>
      </c>
    </row>
    <row r="5" spans="1:11" x14ac:dyDescent="0.4">
      <c r="A5" s="225"/>
      <c r="B5" s="226" t="s">
        <v>135</v>
      </c>
      <c r="C5" s="226" t="s">
        <v>136</v>
      </c>
      <c r="D5" s="226" t="s">
        <v>137</v>
      </c>
      <c r="E5" s="226" t="s">
        <v>138</v>
      </c>
      <c r="F5" s="226" t="s">
        <v>165</v>
      </c>
      <c r="G5" s="226" t="s">
        <v>166</v>
      </c>
      <c r="H5" s="226" t="s">
        <v>139</v>
      </c>
      <c r="I5" s="230" t="s">
        <v>140</v>
      </c>
      <c r="J5" s="240" t="str">
        <f>PPP&amp;Sex</f>
        <v>20M</v>
      </c>
      <c r="K5" s="241" t="s">
        <v>141</v>
      </c>
    </row>
    <row r="6" spans="1:11" hidden="1" x14ac:dyDescent="0.4">
      <c r="A6" s="220">
        <v>0</v>
      </c>
      <c r="B6" s="221">
        <v>6277.6123322830681</v>
      </c>
      <c r="C6" s="221">
        <v>6592.0558850692942</v>
      </c>
      <c r="D6" s="221">
        <v>711.34562228031507</v>
      </c>
      <c r="E6" s="221">
        <v>746.83062597341745</v>
      </c>
      <c r="F6" s="221">
        <v>390.05071790819341</v>
      </c>
      <c r="G6" s="221">
        <v>409.43757458067188</v>
      </c>
      <c r="H6" s="221">
        <v>328.85187858496067</v>
      </c>
      <c r="I6" s="231">
        <v>345.15887307325949</v>
      </c>
      <c r="J6" s="238">
        <f>IF(HLOOKUP($J$5,$B$5:$I$76,A6+2,FALSE)&lt;&gt;0,HLOOKUP($J$5,$B$5:$I$76,A6+2,FALSE),"")</f>
        <v>390.05071790819341</v>
      </c>
      <c r="K6" s="239">
        <f>INDEX(J6:J66,Age+1)</f>
        <v>641.07560097801388</v>
      </c>
    </row>
    <row r="7" spans="1:11" x14ac:dyDescent="0.4">
      <c r="A7" s="216">
        <v>1</v>
      </c>
      <c r="B7" s="217">
        <v>6434.9863228188697</v>
      </c>
      <c r="C7" s="217">
        <v>6757.0836685909253</v>
      </c>
      <c r="D7" s="217">
        <v>729.18871467717042</v>
      </c>
      <c r="E7" s="217">
        <v>765.52931629822967</v>
      </c>
      <c r="F7" s="217">
        <v>399.84047309769107</v>
      </c>
      <c r="G7" s="217">
        <v>419.69114025283272</v>
      </c>
      <c r="H7" s="217">
        <v>337.10773587051114</v>
      </c>
      <c r="I7" s="232">
        <v>353.80372469175745</v>
      </c>
      <c r="J7" s="234">
        <f t="shared" ref="J7:J66" si="0">IF(HLOOKUP($J$5,$B$5:$I$76,A7+2,FALSE)&lt;&gt;0,HLOOKUP($J$5,$B$5:$I$76,A7+2,FALSE),"")</f>
        <v>399.84047309769107</v>
      </c>
      <c r="K7" s="235"/>
    </row>
    <row r="8" spans="1:11" x14ac:dyDescent="0.4">
      <c r="A8" s="216">
        <v>2</v>
      </c>
      <c r="B8" s="217">
        <v>6596.3273219841622</v>
      </c>
      <c r="C8" s="217">
        <v>6926.2467369756396</v>
      </c>
      <c r="D8" s="217">
        <v>747.48261122048393</v>
      </c>
      <c r="E8" s="217">
        <v>784.69796494796799</v>
      </c>
      <c r="F8" s="217">
        <v>409.8781263897522</v>
      </c>
      <c r="G8" s="217">
        <v>430.20215502677308</v>
      </c>
      <c r="H8" s="217">
        <v>345.57370757487803</v>
      </c>
      <c r="I8" s="232">
        <v>362.66538997422202</v>
      </c>
      <c r="J8" s="234">
        <f t="shared" si="0"/>
        <v>409.8781263897522</v>
      </c>
      <c r="K8" s="235"/>
    </row>
    <row r="9" spans="1:11" x14ac:dyDescent="0.4">
      <c r="A9" s="216">
        <v>3</v>
      </c>
      <c r="B9" s="217">
        <v>6761.7240397662363</v>
      </c>
      <c r="C9" s="217">
        <v>7099.6564642427911</v>
      </c>
      <c r="D9" s="217">
        <v>766.23911560252714</v>
      </c>
      <c r="E9" s="217">
        <v>804.34828115875791</v>
      </c>
      <c r="F9" s="217">
        <v>420.16919757779283</v>
      </c>
      <c r="G9" s="217">
        <v>440.97744545899764</v>
      </c>
      <c r="H9" s="217">
        <v>354.2531201017602</v>
      </c>
      <c r="I9" s="232">
        <v>371.75013236372212</v>
      </c>
      <c r="J9" s="234">
        <f t="shared" si="0"/>
        <v>420.16919757779283</v>
      </c>
      <c r="K9" s="235"/>
    </row>
    <row r="10" spans="1:11" x14ac:dyDescent="0.4">
      <c r="A10" s="216">
        <v>4</v>
      </c>
      <c r="B10" s="217">
        <v>6931.3037722354429</v>
      </c>
      <c r="C10" s="217">
        <v>7277.4126485222214</v>
      </c>
      <c r="D10" s="217">
        <v>785.47090365559745</v>
      </c>
      <c r="E10" s="217">
        <v>824.4919667028139</v>
      </c>
      <c r="F10" s="217">
        <v>430.72185297224723</v>
      </c>
      <c r="G10" s="217">
        <v>452.02300478533817</v>
      </c>
      <c r="H10" s="217">
        <v>363.15322120621113</v>
      </c>
      <c r="I10" s="232">
        <v>381.06284090847004</v>
      </c>
      <c r="J10" s="234">
        <f t="shared" si="0"/>
        <v>430.72185297224723</v>
      </c>
      <c r="K10" s="235"/>
    </row>
    <row r="11" spans="1:11" x14ac:dyDescent="0.4">
      <c r="A11" s="216">
        <v>5</v>
      </c>
      <c r="B11" s="217">
        <v>7105.1508837012279</v>
      </c>
      <c r="C11" s="217">
        <v>7459.6339896438294</v>
      </c>
      <c r="D11" s="217">
        <v>805.18817041493685</v>
      </c>
      <c r="E11" s="217">
        <v>845.14218336648378</v>
      </c>
      <c r="F11" s="217">
        <v>441.54058171766286</v>
      </c>
      <c r="G11" s="217">
        <v>463.34666061042532</v>
      </c>
      <c r="H11" s="217">
        <v>372.27851066309853</v>
      </c>
      <c r="I11" s="232">
        <v>390.60977203354537</v>
      </c>
      <c r="J11" s="234">
        <f t="shared" si="0"/>
        <v>441.54058171766286</v>
      </c>
      <c r="K11" s="235"/>
    </row>
    <row r="12" spans="1:11" x14ac:dyDescent="0.4">
      <c r="A12" s="216">
        <v>6</v>
      </c>
      <c r="B12" s="217">
        <v>7283.3968692086473</v>
      </c>
      <c r="C12" s="217">
        <v>7646.4249116764786</v>
      </c>
      <c r="D12" s="217">
        <v>825.40677200246955</v>
      </c>
      <c r="E12" s="217">
        <v>866.31030697311201</v>
      </c>
      <c r="F12" s="217">
        <v>452.63491385132801</v>
      </c>
      <c r="G12" s="217">
        <v>474.9542983534696</v>
      </c>
      <c r="H12" s="217">
        <v>381.63528078320826</v>
      </c>
      <c r="I12" s="232">
        <v>400.39663173786778</v>
      </c>
      <c r="J12" s="234">
        <f t="shared" si="0"/>
        <v>452.63491385132801</v>
      </c>
      <c r="K12" s="235"/>
    </row>
    <row r="13" spans="1:11" x14ac:dyDescent="0.4">
      <c r="A13" s="216">
        <v>7</v>
      </c>
      <c r="B13" s="217">
        <v>7466.1398664923554</v>
      </c>
      <c r="C13" s="217">
        <v>7837.906307668929</v>
      </c>
      <c r="D13" s="217">
        <v>846.13537033489865</v>
      </c>
      <c r="E13" s="217">
        <v>888.01119842421451</v>
      </c>
      <c r="F13" s="217">
        <v>464.00946928587177</v>
      </c>
      <c r="G13" s="217">
        <v>486.85405951631384</v>
      </c>
      <c r="H13" s="217">
        <v>391.22989356500693</v>
      </c>
      <c r="I13" s="232">
        <v>410.42937043440327</v>
      </c>
      <c r="J13" s="234">
        <f t="shared" si="0"/>
        <v>464.00946928587177</v>
      </c>
      <c r="K13" s="235"/>
    </row>
    <row r="14" spans="1:11" x14ac:dyDescent="0.4">
      <c r="A14" s="216">
        <v>8</v>
      </c>
      <c r="B14" s="217">
        <v>7653.5025791793278</v>
      </c>
      <c r="C14" s="217">
        <v>8034.1936988719217</v>
      </c>
      <c r="D14" s="217">
        <v>867.39126617268153</v>
      </c>
      <c r="E14" s="217">
        <v>910.25633810963029</v>
      </c>
      <c r="F14" s="217">
        <v>475.67312740025903</v>
      </c>
      <c r="G14" s="217">
        <v>499.05262211654519</v>
      </c>
      <c r="H14" s="217">
        <v>401.06712750442114</v>
      </c>
      <c r="I14" s="232">
        <v>420.71473590341043</v>
      </c>
      <c r="J14" s="234">
        <f t="shared" si="0"/>
        <v>475.67312740025903</v>
      </c>
      <c r="K14" s="235"/>
    </row>
    <row r="15" spans="1:11" x14ac:dyDescent="0.4">
      <c r="A15" s="216">
        <v>9</v>
      </c>
      <c r="B15" s="217">
        <v>7845.6072600111247</v>
      </c>
      <c r="C15" s="217">
        <v>8235.4063651147335</v>
      </c>
      <c r="D15" s="217">
        <v>889.1844249030288</v>
      </c>
      <c r="E15" s="217">
        <v>933.06085840871162</v>
      </c>
      <c r="F15" s="217">
        <v>487.63269620074101</v>
      </c>
      <c r="G15" s="217">
        <v>511.55786712114366</v>
      </c>
      <c r="H15" s="217">
        <v>411.15578645321546</v>
      </c>
      <c r="I15" s="232">
        <v>431.25815151740392</v>
      </c>
      <c r="J15" s="234">
        <f t="shared" si="0"/>
        <v>487.63269620074101</v>
      </c>
      <c r="K15" s="235"/>
    </row>
    <row r="16" spans="1:11" x14ac:dyDescent="0.4">
      <c r="A16" s="216">
        <v>10</v>
      </c>
      <c r="B16" s="217">
        <v>8042.5606599271705</v>
      </c>
      <c r="C16" s="217">
        <v>8441.6749406960971</v>
      </c>
      <c r="D16" s="217">
        <v>911.53064459150198</v>
      </c>
      <c r="E16" s="217">
        <v>956.43802651235694</v>
      </c>
      <c r="F16" s="217">
        <v>499.89534179103316</v>
      </c>
      <c r="G16" s="217">
        <v>524.37771529557949</v>
      </c>
      <c r="H16" s="217">
        <v>421.49911543106555</v>
      </c>
      <c r="I16" s="232">
        <v>442.06770813673751</v>
      </c>
      <c r="J16" s="234">
        <f t="shared" si="0"/>
        <v>499.89534179103316</v>
      </c>
      <c r="K16" s="235"/>
    </row>
    <row r="17" spans="1:11" x14ac:dyDescent="0.4">
      <c r="A17" s="216">
        <v>11</v>
      </c>
      <c r="B17" s="217">
        <v>8244.5155367139123</v>
      </c>
      <c r="C17" s="217">
        <v>8653.1141781026618</v>
      </c>
      <c r="D17" s="217">
        <v>934.44383089123573</v>
      </c>
      <c r="E17" s="217">
        <v>980.40243448338867</v>
      </c>
      <c r="F17" s="217">
        <v>512.47073345854619</v>
      </c>
      <c r="G17" s="217">
        <v>537.51946490861849</v>
      </c>
      <c r="H17" s="217">
        <v>432.10731209448176</v>
      </c>
      <c r="I17" s="232">
        <v>453.14848898028731</v>
      </c>
      <c r="J17" s="234">
        <f t="shared" si="0"/>
        <v>512.47073345854619</v>
      </c>
      <c r="K17" s="235"/>
    </row>
    <row r="18" spans="1:11" x14ac:dyDescent="0.4">
      <c r="A18" s="216">
        <v>12</v>
      </c>
      <c r="B18" s="217">
        <v>8451.561276649627</v>
      </c>
      <c r="C18" s="217">
        <v>8869.8724525185244</v>
      </c>
      <c r="D18" s="217">
        <v>957.93677134856262</v>
      </c>
      <c r="E18" s="217">
        <v>1004.9696288748491</v>
      </c>
      <c r="F18" s="217">
        <v>525.36362869665754</v>
      </c>
      <c r="G18" s="217">
        <v>550.99261820816571</v>
      </c>
      <c r="H18" s="217">
        <v>442.98407879850265</v>
      </c>
      <c r="I18" s="232">
        <v>464.5088382033137</v>
      </c>
      <c r="J18" s="234">
        <f t="shared" si="0"/>
        <v>525.36362869665754</v>
      </c>
      <c r="K18" s="235"/>
    </row>
    <row r="19" spans="1:11" x14ac:dyDescent="0.4">
      <c r="A19" s="216">
        <v>13</v>
      </c>
      <c r="B19" s="217">
        <v>8663.8735647229332</v>
      </c>
      <c r="C19" s="217">
        <v>9092.0648152303711</v>
      </c>
      <c r="D19" s="217">
        <v>982.02857531106429</v>
      </c>
      <c r="E19" s="217">
        <v>1030.1532762805862</v>
      </c>
      <c r="F19" s="217">
        <v>538.5873958824393</v>
      </c>
      <c r="G19" s="217">
        <v>564.80381489588456</v>
      </c>
      <c r="H19" s="217">
        <v>454.13833884554975</v>
      </c>
      <c r="I19" s="232">
        <v>476.1548711845748</v>
      </c>
      <c r="J19" s="234">
        <f t="shared" si="0"/>
        <v>538.5873958824393</v>
      </c>
      <c r="K19" s="235"/>
    </row>
    <row r="20" spans="1:11" x14ac:dyDescent="0.4">
      <c r="A20" s="216">
        <v>14</v>
      </c>
      <c r="B20" s="217">
        <v>8881.5450324640333</v>
      </c>
      <c r="C20" s="217">
        <v>9319.8442794118328</v>
      </c>
      <c r="D20" s="217">
        <v>1006.7282513282763</v>
      </c>
      <c r="E20" s="217">
        <v>1055.9717451260422</v>
      </c>
      <c r="F20" s="217">
        <v>552.14524524985723</v>
      </c>
      <c r="G20" s="217">
        <v>578.96386838512763</v>
      </c>
      <c r="H20" s="217">
        <v>465.57677190727719</v>
      </c>
      <c r="I20" s="232">
        <v>488.09432245062283</v>
      </c>
      <c r="J20" s="234">
        <f t="shared" si="0"/>
        <v>552.14524524985723</v>
      </c>
      <c r="K20" s="235"/>
    </row>
    <row r="21" spans="1:11" x14ac:dyDescent="0.4">
      <c r="A21" s="216">
        <v>15</v>
      </c>
      <c r="B21" s="217">
        <v>9104.7414449973749</v>
      </c>
      <c r="C21" s="217">
        <v>9553.3406770568672</v>
      </c>
      <c r="D21" s="217">
        <v>1032.0602979960693</v>
      </c>
      <c r="E21" s="217">
        <v>1082.4378568151094</v>
      </c>
      <c r="F21" s="217">
        <v>566.05008125586437</v>
      </c>
      <c r="G21" s="217">
        <v>593.47963211979391</v>
      </c>
      <c r="H21" s="217">
        <v>477.30565292978577</v>
      </c>
      <c r="I21" s="232">
        <v>500.33494162369442</v>
      </c>
      <c r="J21" s="234">
        <f t="shared" si="0"/>
        <v>566.05008125586437</v>
      </c>
      <c r="K21" s="235"/>
    </row>
    <row r="22" spans="1:11" x14ac:dyDescent="0.4">
      <c r="A22" s="216">
        <v>16</v>
      </c>
      <c r="B22" s="217">
        <v>9333.594111563305</v>
      </c>
      <c r="C22" s="217">
        <v>9792.7040306119015</v>
      </c>
      <c r="D22" s="217">
        <v>1058.0325957881626</v>
      </c>
      <c r="E22" s="217">
        <v>1109.5715647481984</v>
      </c>
      <c r="F22" s="217">
        <v>580.30834896779265</v>
      </c>
      <c r="G22" s="217">
        <v>608.36163388436159</v>
      </c>
      <c r="H22" s="217">
        <v>489.33555990506761</v>
      </c>
      <c r="I22" s="232">
        <v>512.88339630646078</v>
      </c>
      <c r="J22" s="234">
        <f t="shared" si="0"/>
        <v>580.30834896779265</v>
      </c>
      <c r="K22" s="235"/>
    </row>
    <row r="23" spans="1:11" x14ac:dyDescent="0.4">
      <c r="A23" s="216">
        <v>17</v>
      </c>
      <c r="B23" s="217">
        <v>9568.2397491619195</v>
      </c>
      <c r="C23" s="217">
        <v>10038.086214043555</v>
      </c>
      <c r="D23" s="217">
        <v>1084.6679580940438</v>
      </c>
      <c r="E23" s="217">
        <v>1137.3869955882776</v>
      </c>
      <c r="F23" s="217">
        <v>594.93000645083293</v>
      </c>
      <c r="G23" s="217">
        <v>623.61862690534724</v>
      </c>
      <c r="H23" s="217">
        <v>501.66936492436002</v>
      </c>
      <c r="I23" s="232">
        <v>525.74955863791513</v>
      </c>
      <c r="J23" s="234">
        <f t="shared" si="0"/>
        <v>594.93000645083293</v>
      </c>
      <c r="K23" s="235"/>
    </row>
    <row r="24" spans="1:11" x14ac:dyDescent="0.4">
      <c r="A24" s="216">
        <v>18</v>
      </c>
      <c r="B24" s="217">
        <v>9808.8606707280705</v>
      </c>
      <c r="C24" s="217">
        <v>10289.627635482255</v>
      </c>
      <c r="D24" s="217">
        <v>1111.980656048949</v>
      </c>
      <c r="E24" s="217">
        <v>1165.9033040952354</v>
      </c>
      <c r="F24" s="217">
        <v>609.9260709642133</v>
      </c>
      <c r="G24" s="217">
        <v>639.25994721548454</v>
      </c>
      <c r="H24" s="217">
        <v>514.32194058579023</v>
      </c>
      <c r="I24" s="232">
        <v>538.93886295979303</v>
      </c>
      <c r="J24" s="234">
        <f t="shared" si="0"/>
        <v>609.9260709642133</v>
      </c>
      <c r="K24" s="235"/>
    </row>
    <row r="25" spans="1:11" x14ac:dyDescent="0.4">
      <c r="A25" s="216">
        <v>19</v>
      </c>
      <c r="B25" s="217">
        <v>10055.552454061042</v>
      </c>
      <c r="C25" s="217">
        <v>10547.507912225845</v>
      </c>
      <c r="D25" s="217">
        <v>1139.9881878499837</v>
      </c>
      <c r="E25" s="217">
        <v>1195.1380924803523</v>
      </c>
      <c r="F25" s="217">
        <v>625.30228658155704</v>
      </c>
      <c r="G25" s="217">
        <v>655.29683272799537</v>
      </c>
      <c r="H25" s="217">
        <v>527.29461061091581</v>
      </c>
      <c r="I25" s="232">
        <v>552.46281369692281</v>
      </c>
      <c r="J25" s="234">
        <f t="shared" si="0"/>
        <v>625.30228658155704</v>
      </c>
      <c r="K25" s="235"/>
    </row>
    <row r="26" spans="1:11" x14ac:dyDescent="0.4">
      <c r="A26" s="216">
        <v>20</v>
      </c>
      <c r="B26" s="217">
        <v>10308.56349501805</v>
      </c>
      <c r="C26" s="217">
        <v>10811.856967610805</v>
      </c>
      <c r="D26" s="217">
        <v>1168.7131992552675</v>
      </c>
      <c r="E26" s="217">
        <v>1225.1084873752241</v>
      </c>
      <c r="F26" s="217">
        <v>641.07560097801388</v>
      </c>
      <c r="G26" s="217">
        <v>671.73681430943918</v>
      </c>
      <c r="H26" s="217">
        <v>540.60068527981343</v>
      </c>
      <c r="I26" s="232">
        <v>566.32701070601024</v>
      </c>
      <c r="J26" s="234">
        <f t="shared" si="0"/>
        <v>641.07560097801388</v>
      </c>
      <c r="K26" s="235"/>
    </row>
    <row r="27" spans="1:11" x14ac:dyDescent="0.4">
      <c r="A27" s="216">
        <v>21</v>
      </c>
      <c r="B27" s="217">
        <v>10567.963131085904</v>
      </c>
      <c r="C27" s="217">
        <v>11082.87673928279</v>
      </c>
      <c r="D27" s="217">
        <v>1198.1657465170326</v>
      </c>
      <c r="E27" s="217">
        <v>1255.8366330956555</v>
      </c>
      <c r="F27" s="217">
        <v>657.24803179557091</v>
      </c>
      <c r="G27" s="217">
        <v>688.59437243694651</v>
      </c>
      <c r="H27" s="217">
        <v>554.24623409896867</v>
      </c>
      <c r="I27" s="232">
        <v>580.54219065511552</v>
      </c>
      <c r="J27" s="234">
        <f t="shared" si="0"/>
        <v>657.24803179557091</v>
      </c>
      <c r="K27" s="235"/>
    </row>
    <row r="28" spans="1:11" x14ac:dyDescent="0.4">
      <c r="A28" s="216">
        <v>22</v>
      </c>
      <c r="B28" s="217">
        <v>10833.991404157248</v>
      </c>
      <c r="C28" s="217">
        <v>11360.702174316604</v>
      </c>
      <c r="D28" s="217">
        <v>1228.379264724523</v>
      </c>
      <c r="E28" s="217">
        <v>1287.3367199853813</v>
      </c>
      <c r="F28" s="217">
        <v>673.83824641428646</v>
      </c>
      <c r="G28" s="217">
        <v>705.87571963765208</v>
      </c>
      <c r="H28" s="217">
        <v>568.23995722562688</v>
      </c>
      <c r="I28" s="232">
        <v>595.11651940262209</v>
      </c>
      <c r="J28" s="234">
        <f t="shared" si="0"/>
        <v>673.83824641428646</v>
      </c>
      <c r="K28" s="235"/>
    </row>
    <row r="29" spans="1:11" x14ac:dyDescent="0.4">
      <c r="A29" s="216">
        <v>23</v>
      </c>
      <c r="B29" s="217">
        <v>11106.776917087269</v>
      </c>
      <c r="C29" s="217">
        <v>11645.531010459667</v>
      </c>
      <c r="D29" s="217">
        <v>1259.3583530798023</v>
      </c>
      <c r="E29" s="217">
        <v>1319.6362795841942</v>
      </c>
      <c r="F29" s="217">
        <v>690.85062876022539</v>
      </c>
      <c r="G29" s="217">
        <v>723.595648239409</v>
      </c>
      <c r="H29" s="217">
        <v>582.59425548477259</v>
      </c>
      <c r="I29" s="232">
        <v>610.05866966858639</v>
      </c>
      <c r="J29" s="234">
        <f t="shared" si="0"/>
        <v>690.85062876022539</v>
      </c>
      <c r="K29" s="235"/>
    </row>
    <row r="30" spans="1:11" x14ac:dyDescent="0.4">
      <c r="A30" s="216">
        <v>24</v>
      </c>
      <c r="B30" s="217">
        <v>11386.509888342485</v>
      </c>
      <c r="C30" s="217">
        <v>11937.531858423259</v>
      </c>
      <c r="D30" s="217">
        <v>1291.1365239315987</v>
      </c>
      <c r="E30" s="217">
        <v>1352.7482327453388</v>
      </c>
      <c r="F30" s="217">
        <v>708.29961545775313</v>
      </c>
      <c r="G30" s="217">
        <v>741.76268299171352</v>
      </c>
      <c r="H30" s="217">
        <v>597.31149510443777</v>
      </c>
      <c r="I30" s="232">
        <v>625.38020747981432</v>
      </c>
      <c r="J30" s="234">
        <f t="shared" si="0"/>
        <v>708.29961545775313</v>
      </c>
      <c r="K30" s="235"/>
    </row>
    <row r="31" spans="1:11" x14ac:dyDescent="0.4">
      <c r="A31" s="216">
        <v>25</v>
      </c>
      <c r="B31" s="217">
        <v>11673.401365958471</v>
      </c>
      <c r="C31" s="217">
        <v>12236.883261794042</v>
      </c>
      <c r="D31" s="217">
        <v>1323.7258954593306</v>
      </c>
      <c r="E31" s="217">
        <v>1386.6994314306571</v>
      </c>
      <c r="F31" s="217">
        <v>726.19698102711368</v>
      </c>
      <c r="G31" s="217">
        <v>760.38953036506189</v>
      </c>
      <c r="H31" s="217">
        <v>612.41239636919568</v>
      </c>
      <c r="I31" s="232">
        <v>641.08684332798578</v>
      </c>
      <c r="J31" s="234">
        <f t="shared" si="0"/>
        <v>726.19698102711368</v>
      </c>
      <c r="K31" s="235"/>
    </row>
    <row r="32" spans="1:11" x14ac:dyDescent="0.4">
      <c r="A32" s="216">
        <v>26</v>
      </c>
      <c r="B32" s="217">
        <v>11967.569082540624</v>
      </c>
      <c r="C32" s="217">
        <v>12543.798883271409</v>
      </c>
      <c r="D32" s="217">
        <v>1357.1513376422145</v>
      </c>
      <c r="E32" s="217">
        <v>1421.5082755192529</v>
      </c>
      <c r="F32" s="217">
        <v>744.54979310580086</v>
      </c>
      <c r="G32" s="217">
        <v>779.48869137382155</v>
      </c>
      <c r="H32" s="217">
        <v>627.89456594536546</v>
      </c>
      <c r="I32" s="232">
        <v>657.19455675025176</v>
      </c>
      <c r="J32" s="234">
        <f t="shared" si="0"/>
        <v>744.54979310580086</v>
      </c>
      <c r="K32" s="235"/>
    </row>
    <row r="33" spans="1:11" x14ac:dyDescent="0.4">
      <c r="A33" s="216">
        <v>27</v>
      </c>
      <c r="B33" s="217">
        <v>12269.328070665439</v>
      </c>
      <c r="C33" s="217">
        <v>12858.428036972369</v>
      </c>
      <c r="D33" s="217">
        <v>1391.4382401876646</v>
      </c>
      <c r="E33" s="217">
        <v>1457.1975948056934</v>
      </c>
      <c r="F33" s="217">
        <v>763.37957965775252</v>
      </c>
      <c r="G33" s="217">
        <v>799.06949183605991</v>
      </c>
      <c r="H33" s="217">
        <v>643.77815527442317</v>
      </c>
      <c r="I33" s="232">
        <v>673.70700290706759</v>
      </c>
      <c r="J33" s="234">
        <f t="shared" si="0"/>
        <v>763.37957965775252</v>
      </c>
      <c r="K33" s="235"/>
    </row>
    <row r="34" spans="1:11" x14ac:dyDescent="0.4">
      <c r="A34" s="216">
        <v>28</v>
      </c>
      <c r="B34" s="217">
        <v>12578.733866027991</v>
      </c>
      <c r="C34" s="217">
        <v>13181.041129140865</v>
      </c>
      <c r="D34" s="217">
        <v>1426.5983743902098</v>
      </c>
      <c r="E34" s="217">
        <v>1493.7929767863598</v>
      </c>
      <c r="F34" s="217">
        <v>782.68548843456506</v>
      </c>
      <c r="G34" s="217">
        <v>819.1496015259363</v>
      </c>
      <c r="H34" s="217">
        <v>660.06675739824004</v>
      </c>
      <c r="I34" s="232">
        <v>690.63978178615639</v>
      </c>
      <c r="J34" s="234">
        <f t="shared" si="0"/>
        <v>782.68548843456506</v>
      </c>
      <c r="K34" s="235"/>
    </row>
    <row r="35" spans="1:11" x14ac:dyDescent="0.4">
      <c r="A35" s="216">
        <v>29</v>
      </c>
      <c r="B35" s="217">
        <v>12896.132108532127</v>
      </c>
      <c r="C35" s="217">
        <v>13511.767584694819</v>
      </c>
      <c r="D35" s="217">
        <v>1462.6745580484983</v>
      </c>
      <c r="E35" s="217">
        <v>1531.3112880732581</v>
      </c>
      <c r="F35" s="217">
        <v>802.49563269032137</v>
      </c>
      <c r="G35" s="217">
        <v>839.73473562266122</v>
      </c>
      <c r="H35" s="217">
        <v>676.77293467120728</v>
      </c>
      <c r="I35" s="232">
        <v>708.00005521674086</v>
      </c>
      <c r="J35" s="234">
        <f t="shared" si="0"/>
        <v>802.49563269032137</v>
      </c>
      <c r="K35" s="235"/>
    </row>
    <row r="36" spans="1:11" x14ac:dyDescent="0.4">
      <c r="A36" s="216">
        <v>30</v>
      </c>
      <c r="B36" s="217">
        <v>13221.619746265533</v>
      </c>
      <c r="C36" s="217">
        <v>13850.882950287147</v>
      </c>
      <c r="D36" s="217">
        <v>1499.6662265614773</v>
      </c>
      <c r="E36" s="217">
        <v>1569.7874887660025</v>
      </c>
      <c r="F36" s="217">
        <v>822.80894886460021</v>
      </c>
      <c r="G36" s="217">
        <v>860.84594112551679</v>
      </c>
      <c r="H36" s="217">
        <v>693.91103424166215</v>
      </c>
      <c r="I36" s="232">
        <v>725.79990585581174</v>
      </c>
      <c r="J36" s="234">
        <f t="shared" si="0"/>
        <v>822.80894886460021</v>
      </c>
      <c r="K36" s="235"/>
    </row>
    <row r="37" spans="1:11" x14ac:dyDescent="0.4">
      <c r="A37" s="216">
        <v>31</v>
      </c>
      <c r="B37" s="217">
        <v>13555.469419504254</v>
      </c>
      <c r="C37" s="217">
        <v>14198.558962280133</v>
      </c>
      <c r="D37" s="217">
        <v>1537.6224640514565</v>
      </c>
      <c r="E37" s="217">
        <v>1609.2330680454484</v>
      </c>
      <c r="F37" s="217">
        <v>843.64728882192401</v>
      </c>
      <c r="G37" s="217">
        <v>882.48924442346868</v>
      </c>
      <c r="H37" s="217">
        <v>711.48200031270801</v>
      </c>
      <c r="I37" s="232">
        <v>744.05188242320548</v>
      </c>
      <c r="J37" s="234">
        <f t="shared" si="0"/>
        <v>843.64728882192401</v>
      </c>
      <c r="K37" s="235"/>
    </row>
    <row r="38" spans="1:11" x14ac:dyDescent="0.4">
      <c r="A38" s="216">
        <v>32</v>
      </c>
      <c r="B38" s="217">
        <v>13897.906668032141</v>
      </c>
      <c r="C38" s="217">
        <v>14555.03622697938</v>
      </c>
      <c r="D38" s="217">
        <v>1576.5479096390047</v>
      </c>
      <c r="E38" s="217">
        <v>1649.6859882206891</v>
      </c>
      <c r="F38" s="217">
        <v>865.02211437761036</v>
      </c>
      <c r="G38" s="217">
        <v>904.68294845588071</v>
      </c>
      <c r="H38" s="217">
        <v>729.51485807220547</v>
      </c>
      <c r="I38" s="232">
        <v>762.76287804730066</v>
      </c>
      <c r="J38" s="234">
        <f t="shared" si="0"/>
        <v>865.02211437761036</v>
      </c>
      <c r="K38" s="235"/>
    </row>
    <row r="39" spans="1:11" x14ac:dyDescent="0.4">
      <c r="A39" s="216">
        <v>33</v>
      </c>
      <c r="B39" s="217">
        <v>14249.077627512223</v>
      </c>
      <c r="C39" s="217">
        <v>14920.555826832498</v>
      </c>
      <c r="D39" s="217">
        <v>1616.4786284329161</v>
      </c>
      <c r="E39" s="217">
        <v>1691.1615881433966</v>
      </c>
      <c r="F39" s="217">
        <v>886.9419005063595</v>
      </c>
      <c r="G39" s="217">
        <v>927.43933572036417</v>
      </c>
      <c r="H39" s="217">
        <v>748.0000258511219</v>
      </c>
      <c r="I39" s="232">
        <v>781.95257610822512</v>
      </c>
      <c r="J39" s="234">
        <f t="shared" si="0"/>
        <v>886.9419005063595</v>
      </c>
      <c r="K39" s="235"/>
    </row>
    <row r="40" spans="1:11" x14ac:dyDescent="0.4">
      <c r="A40" s="216">
        <v>34</v>
      </c>
      <c r="B40" s="217">
        <v>14609.376752623612</v>
      </c>
      <c r="C40" s="217">
        <v>15295.301342176394</v>
      </c>
      <c r="D40" s="217">
        <v>1657.4416911957719</v>
      </c>
      <c r="E40" s="217">
        <v>1733.6918656059349</v>
      </c>
      <c r="F40" s="217">
        <v>909.43536742660638</v>
      </c>
      <c r="G40" s="217">
        <v>950.77075227301918</v>
      </c>
      <c r="H40" s="217">
        <v>766.96946362694143</v>
      </c>
      <c r="I40" s="232">
        <v>801.6227166803568</v>
      </c>
      <c r="J40" s="234">
        <f t="shared" si="0"/>
        <v>909.43536742660638</v>
      </c>
      <c r="K40" s="235"/>
    </row>
    <row r="41" spans="1:11" x14ac:dyDescent="0.4">
      <c r="A41" s="216">
        <v>35</v>
      </c>
      <c r="B41" s="217">
        <v>14978.811850867065</v>
      </c>
      <c r="C41" s="217">
        <v>15679.603501179796</v>
      </c>
      <c r="D41" s="217">
        <v>1699.4495128209812</v>
      </c>
      <c r="E41" s="217">
        <v>1777.3035634337102</v>
      </c>
      <c r="F41" s="217">
        <v>932.49442104678565</v>
      </c>
      <c r="G41" s="217">
        <v>974.69782698506015</v>
      </c>
      <c r="H41" s="217">
        <v>786.43136929914999</v>
      </c>
      <c r="I41" s="232">
        <v>821.79639170703933</v>
      </c>
      <c r="J41" s="234">
        <f t="shared" si="0"/>
        <v>932.49442104678565</v>
      </c>
      <c r="K41" s="235"/>
    </row>
    <row r="42" spans="1:11" x14ac:dyDescent="0.4">
      <c r="A42" s="216">
        <v>36</v>
      </c>
      <c r="B42" s="217">
        <v>15357.893606657168</v>
      </c>
      <c r="C42" s="217">
        <v>16073.585211479469</v>
      </c>
      <c r="D42" s="217">
        <v>1742.5599045710815</v>
      </c>
      <c r="E42" s="217">
        <v>1822.0180758525337</v>
      </c>
      <c r="F42" s="217">
        <v>956.16455278424939</v>
      </c>
      <c r="G42" s="217">
        <v>999.22468405719189</v>
      </c>
      <c r="H42" s="217"/>
      <c r="I42" s="232"/>
      <c r="J42" s="234">
        <f t="shared" si="0"/>
        <v>956.16455278424939</v>
      </c>
      <c r="K42" s="235"/>
    </row>
    <row r="43" spans="1:11" x14ac:dyDescent="0.4">
      <c r="A43" s="216">
        <v>37</v>
      </c>
      <c r="B43" s="217">
        <v>15746.623969301554</v>
      </c>
      <c r="C43" s="217">
        <v>16477.634336360203</v>
      </c>
      <c r="D43" s="217">
        <v>1786.7598481730495</v>
      </c>
      <c r="E43" s="217">
        <v>1867.8772300529765</v>
      </c>
      <c r="F43" s="217">
        <v>980.43168501775551</v>
      </c>
      <c r="G43" s="217">
        <v>1024.382942129919</v>
      </c>
      <c r="H43" s="217"/>
      <c r="I43" s="232"/>
      <c r="J43" s="234">
        <f t="shared" si="0"/>
        <v>980.43168501775551</v>
      </c>
      <c r="K43" s="235"/>
    </row>
    <row r="44" spans="1:11" x14ac:dyDescent="0.4">
      <c r="A44" s="216">
        <v>38</v>
      </c>
      <c r="B44" s="217">
        <v>16145.407570225892</v>
      </c>
      <c r="C44" s="217">
        <v>16891.882839677091</v>
      </c>
      <c r="D44" s="217">
        <v>1832.1267664802583</v>
      </c>
      <c r="E44" s="217">
        <v>1914.8898444500169</v>
      </c>
      <c r="F44" s="217">
        <v>1005.3309271514453</v>
      </c>
      <c r="G44" s="217">
        <v>1050.1713589999188</v>
      </c>
      <c r="H44" s="217"/>
      <c r="I44" s="232"/>
      <c r="J44" s="234">
        <f t="shared" si="0"/>
        <v>1005.3309271514453</v>
      </c>
      <c r="K44" s="235"/>
    </row>
    <row r="45" spans="1:11" x14ac:dyDescent="0.4">
      <c r="A45" s="216">
        <v>39</v>
      </c>
      <c r="B45" s="217">
        <v>16554.464078120585</v>
      </c>
      <c r="C45" s="217">
        <v>17316.672851811421</v>
      </c>
      <c r="D45" s="217">
        <v>1878.6481882503033</v>
      </c>
      <c r="E45" s="217">
        <v>1963.1115422609139</v>
      </c>
      <c r="F45" s="217">
        <v>1030.8709130747975</v>
      </c>
      <c r="G45" s="217">
        <v>1076.6186110094536</v>
      </c>
      <c r="H45" s="217"/>
      <c r="I45" s="232"/>
      <c r="J45" s="234">
        <f t="shared" si="0"/>
        <v>1030.8709130747975</v>
      </c>
      <c r="K45" s="235"/>
    </row>
    <row r="46" spans="1:11" x14ac:dyDescent="0.4">
      <c r="A46" s="216">
        <v>40</v>
      </c>
      <c r="B46" s="217">
        <v>16973.97134462991</v>
      </c>
      <c r="C46" s="217">
        <v>17752.246616342109</v>
      </c>
      <c r="D46" s="217">
        <v>1926.3801112719314</v>
      </c>
      <c r="E46" s="217">
        <v>2012.5477476479857</v>
      </c>
      <c r="F46" s="217">
        <v>1057.0608097853751</v>
      </c>
      <c r="G46" s="217">
        <v>1103.7197004014647</v>
      </c>
      <c r="H46" s="217"/>
      <c r="I46" s="232"/>
      <c r="J46" s="234">
        <f t="shared" si="0"/>
        <v>1057.0608097853751</v>
      </c>
      <c r="K46" s="235"/>
    </row>
    <row r="47" spans="1:11" x14ac:dyDescent="0.4">
      <c r="A47" s="216">
        <v>41</v>
      </c>
      <c r="B47" s="217">
        <v>17404.449218398455</v>
      </c>
      <c r="C47" s="217">
        <v>18198.842867548919</v>
      </c>
      <c r="D47" s="217">
        <v>1975.3512636945775</v>
      </c>
      <c r="E47" s="217">
        <v>2063.2467142257187</v>
      </c>
      <c r="F47" s="217"/>
      <c r="G47" s="217"/>
      <c r="H47" s="217"/>
      <c r="I47" s="232"/>
      <c r="J47" s="234" t="str">
        <f t="shared" si="0"/>
        <v/>
      </c>
      <c r="K47" s="235"/>
    </row>
    <row r="48" spans="1:11" x14ac:dyDescent="0.4">
      <c r="A48" s="216">
        <v>42</v>
      </c>
      <c r="B48" s="217">
        <v>17845.795612666803</v>
      </c>
      <c r="C48" s="217">
        <v>18656.851477336</v>
      </c>
      <c r="D48" s="217">
        <v>2025.5725211566996</v>
      </c>
      <c r="E48" s="217">
        <v>2115.2325958310657</v>
      </c>
      <c r="F48" s="217"/>
      <c r="G48" s="217"/>
      <c r="H48" s="217"/>
      <c r="I48" s="232"/>
      <c r="J48" s="234" t="str">
        <f t="shared" si="0"/>
        <v/>
      </c>
      <c r="K48" s="235"/>
    </row>
    <row r="49" spans="1:11" x14ac:dyDescent="0.4">
      <c r="A49" s="216">
        <v>43</v>
      </c>
      <c r="B49" s="217">
        <v>18298.824615743884</v>
      </c>
      <c r="C49" s="217">
        <v>19126.373974074006</v>
      </c>
      <c r="D49" s="217">
        <v>2077.1301617776157</v>
      </c>
      <c r="E49" s="217">
        <v>2168.5347604003132</v>
      </c>
      <c r="F49" s="217"/>
      <c r="G49" s="217"/>
      <c r="H49" s="217"/>
      <c r="I49" s="232"/>
      <c r="J49" s="234" t="str">
        <f t="shared" si="0"/>
        <v/>
      </c>
      <c r="K49" s="235"/>
    </row>
    <row r="50" spans="1:11" x14ac:dyDescent="0.4">
      <c r="A50" s="216">
        <v>44</v>
      </c>
      <c r="B50" s="217">
        <v>18763.332536220292</v>
      </c>
      <c r="C50" s="217">
        <v>19607.986387108274</v>
      </c>
      <c r="D50" s="217">
        <v>2129.9709941877113</v>
      </c>
      <c r="E50" s="217">
        <v>2223.1574052082628</v>
      </c>
      <c r="F50" s="217"/>
      <c r="G50" s="217"/>
      <c r="H50" s="217"/>
      <c r="I50" s="232"/>
      <c r="J50" s="234" t="str">
        <f t="shared" si="0"/>
        <v/>
      </c>
      <c r="K50" s="235"/>
    </row>
    <row r="51" spans="1:11" x14ac:dyDescent="0.4">
      <c r="A51" s="216">
        <v>45</v>
      </c>
      <c r="B51" s="217">
        <v>19239.965451907981</v>
      </c>
      <c r="C51" s="217">
        <v>20101.704735442494</v>
      </c>
      <c r="D51" s="217">
        <v>2184.097235854947</v>
      </c>
      <c r="E51" s="217">
        <v>2279.1289614869916</v>
      </c>
      <c r="F51" s="217"/>
      <c r="G51" s="217"/>
      <c r="H51" s="217"/>
      <c r="I51" s="232"/>
      <c r="J51" s="234" t="str">
        <f t="shared" si="0"/>
        <v/>
      </c>
      <c r="K51" s="235"/>
    </row>
    <row r="52" spans="1:11" x14ac:dyDescent="0.4">
      <c r="A52" s="216">
        <v>46</v>
      </c>
      <c r="B52" s="217">
        <v>19728.91429526866</v>
      </c>
      <c r="C52" s="217">
        <v>20608.0521128812</v>
      </c>
      <c r="D52" s="217">
        <v>2239.5304157924015</v>
      </c>
      <c r="E52" s="217">
        <v>2336.4780074374894</v>
      </c>
      <c r="F52" s="217"/>
      <c r="G52" s="217"/>
      <c r="H52" s="217"/>
      <c r="I52" s="232"/>
      <c r="J52" s="234" t="str">
        <f t="shared" si="0"/>
        <v/>
      </c>
      <c r="K52" s="235"/>
    </row>
    <row r="53" spans="1:11" x14ac:dyDescent="0.4">
      <c r="A53" s="216">
        <v>47</v>
      </c>
      <c r="B53" s="217">
        <v>20230.390735388817</v>
      </c>
      <c r="C53" s="217">
        <v>21127.224340367335</v>
      </c>
      <c r="D53" s="217">
        <v>2296.2909115727898</v>
      </c>
      <c r="E53" s="217">
        <v>2395.2331015245118</v>
      </c>
      <c r="F53" s="217"/>
      <c r="G53" s="217"/>
      <c r="H53" s="217"/>
      <c r="I53" s="232"/>
      <c r="J53" s="234" t="str">
        <f t="shared" si="0"/>
        <v/>
      </c>
      <c r="K53" s="235"/>
    </row>
    <row r="54" spans="1:11" x14ac:dyDescent="0.4">
      <c r="A54" s="216">
        <v>48</v>
      </c>
      <c r="B54" s="217">
        <v>20745.143266984702</v>
      </c>
      <c r="C54" s="217">
        <v>21659.558991700069</v>
      </c>
      <c r="D54" s="217">
        <v>2354.397561543708</v>
      </c>
      <c r="E54" s="217">
        <v>2455.4227253212371</v>
      </c>
      <c r="F54" s="217"/>
      <c r="G54" s="217"/>
      <c r="H54" s="217"/>
      <c r="I54" s="232"/>
      <c r="J54" s="234" t="str">
        <f t="shared" si="0"/>
        <v/>
      </c>
      <c r="K54" s="235"/>
    </row>
    <row r="55" spans="1:11" x14ac:dyDescent="0.4">
      <c r="A55" s="216">
        <v>49</v>
      </c>
      <c r="B55" s="217">
        <v>21272.766773673717</v>
      </c>
      <c r="C55" s="217">
        <v>22205.07263613867</v>
      </c>
      <c r="D55" s="217">
        <v>2413.8672253799268</v>
      </c>
      <c r="E55" s="217">
        <v>2517.0753119227029</v>
      </c>
      <c r="F55" s="217"/>
      <c r="G55" s="217"/>
      <c r="H55" s="217"/>
      <c r="I55" s="232"/>
      <c r="J55" s="234" t="str">
        <f t="shared" si="0"/>
        <v/>
      </c>
      <c r="K55" s="235"/>
    </row>
    <row r="56" spans="1:11" x14ac:dyDescent="0.4">
      <c r="A56" s="216">
        <v>50</v>
      </c>
      <c r="B56" s="217">
        <v>21813.222340637865</v>
      </c>
      <c r="C56" s="217">
        <v>22764.046387384486</v>
      </c>
      <c r="D56" s="217">
        <v>2474.7142589113014</v>
      </c>
      <c r="E56" s="217">
        <v>2580.2189761256163</v>
      </c>
      <c r="F56" s="217"/>
      <c r="G56" s="217"/>
      <c r="H56" s="217"/>
      <c r="I56" s="232"/>
      <c r="J56" s="234" t="str">
        <f t="shared" si="0"/>
        <v/>
      </c>
      <c r="K56" s="235"/>
    </row>
    <row r="57" spans="1:11" x14ac:dyDescent="0.4">
      <c r="A57" s="216">
        <v>51</v>
      </c>
      <c r="B57" s="217">
        <v>22366.727990569474</v>
      </c>
      <c r="C57" s="217">
        <v>23336.76338198283</v>
      </c>
      <c r="D57" s="217"/>
      <c r="E57" s="217"/>
      <c r="F57" s="217"/>
      <c r="G57" s="217"/>
      <c r="H57" s="217"/>
      <c r="I57" s="232"/>
      <c r="J57" s="234" t="str">
        <f t="shared" si="0"/>
        <v/>
      </c>
      <c r="K57" s="235"/>
    </row>
    <row r="58" spans="1:11" x14ac:dyDescent="0.4">
      <c r="A58" s="216">
        <v>52</v>
      </c>
      <c r="B58" s="217">
        <v>22933.484539694473</v>
      </c>
      <c r="C58" s="217">
        <v>23923.510635062517</v>
      </c>
      <c r="D58" s="217"/>
      <c r="E58" s="217"/>
      <c r="F58" s="217"/>
      <c r="G58" s="217"/>
      <c r="H58" s="217"/>
      <c r="I58" s="232"/>
      <c r="J58" s="234" t="str">
        <f t="shared" si="0"/>
        <v/>
      </c>
      <c r="K58" s="235"/>
    </row>
    <row r="59" spans="1:11" x14ac:dyDescent="0.4">
      <c r="A59" s="216">
        <v>53</v>
      </c>
      <c r="B59" s="217">
        <v>23513.678438305113</v>
      </c>
      <c r="C59" s="217">
        <v>24524.576582047615</v>
      </c>
      <c r="D59" s="217"/>
      <c r="E59" s="217"/>
      <c r="F59" s="217"/>
      <c r="G59" s="217"/>
      <c r="H59" s="217"/>
      <c r="I59" s="232"/>
      <c r="J59" s="234" t="str">
        <f t="shared" si="0"/>
        <v/>
      </c>
      <c r="K59" s="235"/>
    </row>
    <row r="60" spans="1:11" x14ac:dyDescent="0.4">
      <c r="A60" s="216">
        <v>54</v>
      </c>
      <c r="B60" s="217">
        <v>24107.470767287032</v>
      </c>
      <c r="C60" s="217">
        <v>25140.248945157527</v>
      </c>
      <c r="D60" s="217"/>
      <c r="E60" s="217"/>
      <c r="F60" s="217"/>
      <c r="G60" s="217"/>
      <c r="H60" s="217"/>
      <c r="I60" s="232"/>
      <c r="J60" s="234" t="str">
        <f t="shared" si="0"/>
        <v/>
      </c>
      <c r="K60" s="235"/>
    </row>
    <row r="61" spans="1:11" x14ac:dyDescent="0.4">
      <c r="A61" s="216">
        <v>55</v>
      </c>
      <c r="B61" s="217">
        <v>24714.996053033195</v>
      </c>
      <c r="C61" s="217">
        <v>25770.815355624611</v>
      </c>
      <c r="D61" s="217"/>
      <c r="E61" s="217"/>
      <c r="F61" s="217"/>
      <c r="G61" s="217"/>
      <c r="H61" s="217"/>
      <c r="I61" s="232"/>
      <c r="J61" s="234" t="str">
        <f t="shared" si="0"/>
        <v/>
      </c>
      <c r="K61" s="235"/>
    </row>
    <row r="62" spans="1:11" x14ac:dyDescent="0.4">
      <c r="A62" s="216">
        <v>56</v>
      </c>
      <c r="B62" s="217">
        <v>25336.359224533244</v>
      </c>
      <c r="C62" s="217">
        <v>26416.555437031173</v>
      </c>
      <c r="D62" s="217"/>
      <c r="E62" s="217"/>
      <c r="F62" s="217"/>
      <c r="G62" s="217"/>
      <c r="H62" s="217"/>
      <c r="I62" s="232"/>
      <c r="J62" s="234" t="str">
        <f t="shared" si="0"/>
        <v/>
      </c>
      <c r="K62" s="235"/>
    </row>
    <row r="63" spans="1:11" x14ac:dyDescent="0.4">
      <c r="A63" s="216">
        <v>57</v>
      </c>
      <c r="B63" s="217">
        <v>25971.627491288858</v>
      </c>
      <c r="C63" s="217">
        <v>27077.740764668015</v>
      </c>
      <c r="D63" s="217"/>
      <c r="E63" s="217"/>
      <c r="F63" s="217"/>
      <c r="G63" s="217"/>
      <c r="H63" s="217"/>
      <c r="I63" s="232"/>
      <c r="J63" s="234" t="str">
        <f t="shared" si="0"/>
        <v/>
      </c>
      <c r="K63" s="235"/>
    </row>
    <row r="64" spans="1:11" x14ac:dyDescent="0.4">
      <c r="A64" s="216">
        <v>58</v>
      </c>
      <c r="B64" s="217">
        <v>26620.827707629043</v>
      </c>
      <c r="C64" s="217">
        <v>27754.626398871587</v>
      </c>
      <c r="D64" s="217"/>
      <c r="E64" s="217"/>
      <c r="F64" s="217"/>
      <c r="G64" s="217"/>
      <c r="H64" s="217"/>
      <c r="I64" s="232"/>
      <c r="J64" s="234" t="str">
        <f t="shared" si="0"/>
        <v/>
      </c>
      <c r="K64" s="235"/>
    </row>
    <row r="65" spans="1:11" x14ac:dyDescent="0.4">
      <c r="A65" s="216">
        <v>59</v>
      </c>
      <c r="B65" s="217">
        <v>27283.939201249923</v>
      </c>
      <c r="C65" s="217">
        <v>28447.44934572107</v>
      </c>
      <c r="D65" s="217"/>
      <c r="E65" s="217"/>
      <c r="F65" s="217"/>
      <c r="G65" s="217"/>
      <c r="H65" s="217"/>
      <c r="I65" s="232"/>
      <c r="J65" s="234" t="str">
        <f t="shared" si="0"/>
        <v/>
      </c>
      <c r="K65" s="235"/>
    </row>
    <row r="66" spans="1:11" x14ac:dyDescent="0.4">
      <c r="A66" s="218">
        <v>60</v>
      </c>
      <c r="B66" s="219">
        <v>27960.89130436859</v>
      </c>
      <c r="C66" s="219">
        <v>29156.426156889884</v>
      </c>
      <c r="D66" s="219"/>
      <c r="E66" s="219"/>
      <c r="F66" s="219"/>
      <c r="G66" s="219"/>
      <c r="H66" s="219"/>
      <c r="I66" s="233"/>
      <c r="J66" s="236" t="str">
        <f t="shared" si="0"/>
        <v/>
      </c>
      <c r="K66" s="237"/>
    </row>
  </sheetData>
  <mergeCells count="6">
    <mergeCell ref="A1:K2"/>
    <mergeCell ref="B3:C3"/>
    <mergeCell ref="D3:E3"/>
    <mergeCell ref="F3:G3"/>
    <mergeCell ref="H3:I3"/>
    <mergeCell ref="A3:A5"/>
  </mergeCells>
  <phoneticPr fontId="3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480E-377B-5449-B755-81BB0B1E939C}">
  <sheetPr codeName="Sheet9"/>
  <dimension ref="C2:AA67"/>
  <sheetViews>
    <sheetView zoomScale="55" zoomScaleNormal="55" workbookViewId="0">
      <selection activeCell="Q17" sqref="Q17"/>
    </sheetView>
  </sheetViews>
  <sheetFormatPr defaultColWidth="11" defaultRowHeight="15.75" x14ac:dyDescent="0.4"/>
  <cols>
    <col min="1" max="16384" width="11" style="2"/>
  </cols>
  <sheetData>
    <row r="2" spans="3:27" ht="16.149999999999999" thickBot="1" x14ac:dyDescent="0.45"/>
    <row r="3" spans="3:27" x14ac:dyDescent="0.4">
      <c r="C3" s="251" t="s">
        <v>144</v>
      </c>
      <c r="D3" s="252"/>
      <c r="E3" s="252"/>
      <c r="F3" s="252"/>
      <c r="G3" s="252"/>
      <c r="H3" s="252"/>
      <c r="I3" s="252"/>
      <c r="J3" s="252"/>
      <c r="K3" s="252"/>
      <c r="L3" s="252"/>
      <c r="M3" s="252"/>
      <c r="N3" s="252"/>
      <c r="O3" s="252"/>
      <c r="P3" s="252"/>
      <c r="Q3" s="252"/>
      <c r="R3" s="252"/>
      <c r="S3" s="252"/>
      <c r="T3" s="252"/>
      <c r="U3" s="252"/>
      <c r="V3" s="252"/>
      <c r="W3" s="252"/>
      <c r="X3" s="252"/>
      <c r="Y3" s="252"/>
      <c r="Z3" s="252"/>
      <c r="AA3" s="253"/>
    </row>
    <row r="4" spans="3:27" x14ac:dyDescent="0.4">
      <c r="C4" s="254" t="s">
        <v>145</v>
      </c>
      <c r="D4" s="255" t="s">
        <v>146</v>
      </c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 t="s">
        <v>147</v>
      </c>
      <c r="Q4" s="255"/>
      <c r="R4" s="255"/>
      <c r="S4" s="255"/>
      <c r="T4" s="255"/>
      <c r="U4" s="255"/>
      <c r="V4" s="255"/>
      <c r="W4" s="255"/>
      <c r="X4" s="255"/>
      <c r="Y4" s="255"/>
      <c r="Z4" s="255"/>
      <c r="AA4" s="256"/>
    </row>
    <row r="5" spans="3:27" x14ac:dyDescent="0.4">
      <c r="C5" s="254"/>
      <c r="D5" s="255" t="s">
        <v>148</v>
      </c>
      <c r="E5" s="255"/>
      <c r="F5" s="255"/>
      <c r="G5" s="255" t="s">
        <v>149</v>
      </c>
      <c r="H5" s="255"/>
      <c r="I5" s="255"/>
      <c r="J5" s="255" t="s">
        <v>150</v>
      </c>
      <c r="K5" s="255"/>
      <c r="L5" s="255"/>
      <c r="M5" s="255" t="s">
        <v>154</v>
      </c>
      <c r="N5" s="255"/>
      <c r="O5" s="255"/>
      <c r="P5" s="255" t="s">
        <v>148</v>
      </c>
      <c r="Q5" s="255"/>
      <c r="R5" s="255"/>
      <c r="S5" s="255" t="s">
        <v>149</v>
      </c>
      <c r="T5" s="255"/>
      <c r="U5" s="255"/>
      <c r="V5" s="255" t="s">
        <v>150</v>
      </c>
      <c r="W5" s="255"/>
      <c r="X5" s="255"/>
      <c r="Y5" s="255" t="s">
        <v>154</v>
      </c>
      <c r="Z5" s="255"/>
      <c r="AA5" s="256"/>
    </row>
    <row r="6" spans="3:27" x14ac:dyDescent="0.4">
      <c r="C6" s="257"/>
      <c r="D6" s="258" t="s">
        <v>151</v>
      </c>
      <c r="E6" s="258" t="s">
        <v>152</v>
      </c>
      <c r="F6" s="258" t="s">
        <v>153</v>
      </c>
      <c r="G6" s="258" t="s">
        <v>151</v>
      </c>
      <c r="H6" s="258" t="s">
        <v>152</v>
      </c>
      <c r="I6" s="258" t="s">
        <v>153</v>
      </c>
      <c r="J6" s="258" t="s">
        <v>151</v>
      </c>
      <c r="K6" s="258" t="s">
        <v>152</v>
      </c>
      <c r="L6" s="258" t="s">
        <v>153</v>
      </c>
      <c r="M6" s="258" t="s">
        <v>151</v>
      </c>
      <c r="N6" s="258" t="s">
        <v>152</v>
      </c>
      <c r="O6" s="258" t="s">
        <v>153</v>
      </c>
      <c r="P6" s="258" t="s">
        <v>151</v>
      </c>
      <c r="Q6" s="258" t="s">
        <v>152</v>
      </c>
      <c r="R6" s="258" t="s">
        <v>153</v>
      </c>
      <c r="S6" s="258" t="s">
        <v>151</v>
      </c>
      <c r="T6" s="258" t="s">
        <v>152</v>
      </c>
      <c r="U6" s="258" t="s">
        <v>153</v>
      </c>
      <c r="V6" s="258" t="s">
        <v>151</v>
      </c>
      <c r="W6" s="258" t="s">
        <v>152</v>
      </c>
      <c r="X6" s="258" t="s">
        <v>153</v>
      </c>
      <c r="Y6" s="258" t="s">
        <v>151</v>
      </c>
      <c r="Z6" s="258" t="s">
        <v>152</v>
      </c>
      <c r="AA6" s="259" t="s">
        <v>153</v>
      </c>
    </row>
    <row r="7" spans="3:27" hidden="1" x14ac:dyDescent="0.4">
      <c r="C7" s="248">
        <v>0</v>
      </c>
      <c r="D7" s="249">
        <v>6277.6122246965697</v>
      </c>
      <c r="E7" s="249">
        <v>5098.8179825110683</v>
      </c>
      <c r="F7" s="249">
        <v>4170.8641458472121</v>
      </c>
      <c r="G7" s="249">
        <v>711.34562631415929</v>
      </c>
      <c r="H7" s="249">
        <v>577.79118333022689</v>
      </c>
      <c r="I7" s="249">
        <v>472.65366322320051</v>
      </c>
      <c r="J7" s="249">
        <v>390.05071790907175</v>
      </c>
      <c r="K7" s="249">
        <v>316.82949494095936</v>
      </c>
      <c r="L7" s="249">
        <v>259.18700141980543</v>
      </c>
      <c r="M7" s="249">
        <v>390.05071790956953</v>
      </c>
      <c r="N7" s="249">
        <v>267.12476266534759</v>
      </c>
      <c r="O7" s="249">
        <v>218.5309058729915</v>
      </c>
      <c r="P7" s="249">
        <v>6592.0558645242063</v>
      </c>
      <c r="Q7" s="249">
        <v>5335.142216208038</v>
      </c>
      <c r="R7" s="249">
        <v>4329.0766559003578</v>
      </c>
      <c r="S7" s="249">
        <v>746.83062599112236</v>
      </c>
      <c r="T7" s="249">
        <v>604.43960207583416</v>
      </c>
      <c r="U7" s="249">
        <v>490.46558861481373</v>
      </c>
      <c r="V7" s="249">
        <v>409.4375745809092</v>
      </c>
      <c r="W7" s="249">
        <v>331.37837110648604</v>
      </c>
      <c r="X7" s="249">
        <v>268.89690279888464</v>
      </c>
      <c r="Y7" s="249">
        <v>409.43757458072128</v>
      </c>
      <c r="Z7" s="249">
        <v>279.35699835083693</v>
      </c>
      <c r="AA7" s="250">
        <v>226.68623558637651</v>
      </c>
    </row>
    <row r="8" spans="3:27" x14ac:dyDescent="0.4">
      <c r="C8" s="242">
        <v>1</v>
      </c>
      <c r="D8" s="243">
        <v>6434.9863231665668</v>
      </c>
      <c r="E8" s="243">
        <v>5226.674066728584</v>
      </c>
      <c r="F8" s="243">
        <v>4275.4798955819897</v>
      </c>
      <c r="G8" s="243">
        <v>729.18871471440843</v>
      </c>
      <c r="H8" s="243">
        <v>592.28844792799032</v>
      </c>
      <c r="I8" s="243">
        <v>484.51812567499923</v>
      </c>
      <c r="J8" s="243">
        <v>399.84047309682927</v>
      </c>
      <c r="K8" s="243">
        <v>324.78479279294976</v>
      </c>
      <c r="L8" s="243">
        <v>265.69822778225068</v>
      </c>
      <c r="M8" s="243">
        <v>337.1077358705972</v>
      </c>
      <c r="N8" s="243">
        <v>273.83485435102648</v>
      </c>
      <c r="O8" s="243">
        <v>224.02277865444091</v>
      </c>
      <c r="P8" s="243">
        <v>6757.0836695913022</v>
      </c>
      <c r="Q8" s="243">
        <v>5468.7155098082658</v>
      </c>
      <c r="R8" s="243">
        <v>4437.4735197717873</v>
      </c>
      <c r="S8" s="243">
        <v>765.52931628580711</v>
      </c>
      <c r="T8" s="243">
        <v>619.5753390527683</v>
      </c>
      <c r="U8" s="243">
        <v>502.74882358883531</v>
      </c>
      <c r="V8" s="243">
        <v>419.69114024647286</v>
      </c>
      <c r="W8" s="243">
        <v>339.67843677033198</v>
      </c>
      <c r="X8" s="243">
        <v>275.63318613591287</v>
      </c>
      <c r="Y8" s="243">
        <v>353.80372469174614</v>
      </c>
      <c r="Z8" s="243">
        <v>286.35477907277391</v>
      </c>
      <c r="AA8" s="244">
        <v>232.36605430374635</v>
      </c>
    </row>
    <row r="9" spans="3:27" x14ac:dyDescent="0.4">
      <c r="C9" s="242">
        <v>2</v>
      </c>
      <c r="D9" s="243">
        <v>6596.3273223323449</v>
      </c>
      <c r="E9" s="243">
        <v>5357.7494026538689</v>
      </c>
      <c r="F9" s="243">
        <v>4382.7322667569788</v>
      </c>
      <c r="G9" s="243">
        <v>747.48261121888186</v>
      </c>
      <c r="H9" s="243">
        <v>607.15342321515868</v>
      </c>
      <c r="I9" s="243">
        <v>496.68223903828579</v>
      </c>
      <c r="J9" s="243">
        <v>409.87812638985866</v>
      </c>
      <c r="K9" s="243">
        <v>332.94168251952192</v>
      </c>
      <c r="L9" s="243">
        <v>272.37423612223688</v>
      </c>
      <c r="M9" s="243">
        <v>345.5737075741032</v>
      </c>
      <c r="N9" s="243">
        <v>280.71429922290247</v>
      </c>
      <c r="O9" s="243">
        <v>229.65444759177913</v>
      </c>
      <c r="P9" s="243">
        <v>6926.2467368583875</v>
      </c>
      <c r="Q9" s="243">
        <v>5605.6407013637672</v>
      </c>
      <c r="R9" s="243">
        <v>4548.5888541426893</v>
      </c>
      <c r="S9" s="243">
        <v>784.69796494834782</v>
      </c>
      <c r="T9" s="243">
        <v>635.09144576883148</v>
      </c>
      <c r="U9" s="243">
        <v>515.34121161456198</v>
      </c>
      <c r="V9" s="243">
        <v>430.20215502693674</v>
      </c>
      <c r="W9" s="243">
        <v>348.18719455374634</v>
      </c>
      <c r="X9" s="243">
        <v>282.53888232427113</v>
      </c>
      <c r="Y9" s="243">
        <v>362.66538997430763</v>
      </c>
      <c r="Z9" s="243">
        <v>293.5288804529319</v>
      </c>
      <c r="AA9" s="244">
        <v>238.18846954997304</v>
      </c>
    </row>
    <row r="10" spans="3:27" x14ac:dyDescent="0.4">
      <c r="C10" s="242">
        <v>3</v>
      </c>
      <c r="D10" s="243">
        <v>6761.7240401210274</v>
      </c>
      <c r="E10" s="243">
        <v>5492.1351208194301</v>
      </c>
      <c r="F10" s="243">
        <v>4492.691107416771</v>
      </c>
      <c r="G10" s="243">
        <v>766.23911564079071</v>
      </c>
      <c r="H10" s="243">
        <v>622.39455624700793</v>
      </c>
      <c r="I10" s="243">
        <v>509.15574699942101</v>
      </c>
      <c r="J10" s="243">
        <v>420.16919757685542</v>
      </c>
      <c r="K10" s="243">
        <v>341.30557716107427</v>
      </c>
      <c r="L10" s="243">
        <v>279.21991196362444</v>
      </c>
      <c r="M10" s="243">
        <v>354.25312010184643</v>
      </c>
      <c r="N10" s="243">
        <v>287.76936899260664</v>
      </c>
      <c r="O10" s="243">
        <v>235.42861181585639</v>
      </c>
      <c r="P10" s="243">
        <v>7099.6564652896031</v>
      </c>
      <c r="Q10" s="243">
        <v>5745.9982505010657</v>
      </c>
      <c r="R10" s="243">
        <v>4662.495429248479</v>
      </c>
      <c r="S10" s="243">
        <v>804.34828114595518</v>
      </c>
      <c r="T10" s="243">
        <v>650.99754353949368</v>
      </c>
      <c r="U10" s="243">
        <v>528.25024830339646</v>
      </c>
      <c r="V10" s="243">
        <v>440.97744545247667</v>
      </c>
      <c r="W10" s="243">
        <v>356.90961918187804</v>
      </c>
      <c r="X10" s="243">
        <v>289.6183979516212</v>
      </c>
      <c r="Y10" s="243">
        <v>371.75013236371024</v>
      </c>
      <c r="Z10" s="243">
        <v>300.88301591126344</v>
      </c>
      <c r="AA10" s="244">
        <v>244.15781766680399</v>
      </c>
    </row>
    <row r="11" spans="3:27" x14ac:dyDescent="0.4">
      <c r="C11" s="242">
        <v>4</v>
      </c>
      <c r="D11" s="243">
        <v>6931.3037725922777</v>
      </c>
      <c r="E11" s="243">
        <v>5629.9034921005223</v>
      </c>
      <c r="F11" s="243">
        <v>4605.4315054854887</v>
      </c>
      <c r="G11" s="243">
        <v>785.47090365383906</v>
      </c>
      <c r="H11" s="243">
        <v>638.02172127184008</v>
      </c>
      <c r="I11" s="243">
        <v>521.94521064577043</v>
      </c>
      <c r="J11" s="243">
        <v>430.72185297235671</v>
      </c>
      <c r="K11" s="243">
        <v>349.88096086437372</v>
      </c>
      <c r="L11" s="243">
        <v>286.23957648605631</v>
      </c>
      <c r="M11" s="243">
        <v>363.15322120536302</v>
      </c>
      <c r="N11" s="243">
        <v>295.00259995003472</v>
      </c>
      <c r="O11" s="243">
        <v>241.35053495280104</v>
      </c>
      <c r="P11" s="243">
        <v>7277.4126484052504</v>
      </c>
      <c r="Q11" s="243">
        <v>5889.8831152020293</v>
      </c>
      <c r="R11" s="243">
        <v>4779.2586378511369</v>
      </c>
      <c r="S11" s="243">
        <v>824.49196670316849</v>
      </c>
      <c r="T11" s="243">
        <v>667.30368052094934</v>
      </c>
      <c r="U11" s="243">
        <v>541.4838545216752</v>
      </c>
      <c r="V11" s="243">
        <v>452.02300478547528</v>
      </c>
      <c r="W11" s="243">
        <v>365.85166713305409</v>
      </c>
      <c r="X11" s="243">
        <v>296.87576539266564</v>
      </c>
      <c r="Y11" s="243">
        <v>381.06284090851233</v>
      </c>
      <c r="Z11" s="243">
        <v>308.42238747439598</v>
      </c>
      <c r="AA11" s="244">
        <v>250.27706789508554</v>
      </c>
    </row>
    <row r="12" spans="3:27" x14ac:dyDescent="0.4">
      <c r="C12" s="242">
        <v>5</v>
      </c>
      <c r="D12" s="243">
        <v>7105.1508840610222</v>
      </c>
      <c r="E12" s="243">
        <v>5771.164301265062</v>
      </c>
      <c r="F12" s="243">
        <v>4721.0155905379979</v>
      </c>
      <c r="G12" s="243">
        <v>805.18817045402693</v>
      </c>
      <c r="H12" s="243">
        <v>654.04570180289249</v>
      </c>
      <c r="I12" s="243">
        <v>535.05944983292363</v>
      </c>
      <c r="J12" s="243">
        <v>441.54058171659443</v>
      </c>
      <c r="K12" s="243">
        <v>358.67493663422761</v>
      </c>
      <c r="L12" s="243">
        <v>293.4372239274262</v>
      </c>
      <c r="M12" s="243">
        <v>372.27851066318249</v>
      </c>
      <c r="N12" s="243">
        <v>302.42023621496588</v>
      </c>
      <c r="O12" s="243">
        <v>247.42226520845236</v>
      </c>
      <c r="P12" s="243">
        <v>7459.6339906591265</v>
      </c>
      <c r="Q12" s="243">
        <v>6037.3760342896458</v>
      </c>
      <c r="R12" s="243">
        <v>4898.9590709635231</v>
      </c>
      <c r="S12" s="243">
        <v>845.14218335319185</v>
      </c>
      <c r="T12" s="243">
        <v>684.01919614873225</v>
      </c>
      <c r="U12" s="243">
        <v>555.05058135189608</v>
      </c>
      <c r="V12" s="243">
        <v>463.34666061051689</v>
      </c>
      <c r="W12" s="243">
        <v>375.01808129715323</v>
      </c>
      <c r="X12" s="243">
        <v>304.31612371085163</v>
      </c>
      <c r="Y12" s="243">
        <v>390.60977203353275</v>
      </c>
      <c r="Z12" s="243">
        <v>316.15120723026808</v>
      </c>
      <c r="AA12" s="244">
        <v>256.55060678569845</v>
      </c>
    </row>
    <row r="13" spans="3:27" x14ac:dyDescent="0.4">
      <c r="C13" s="242">
        <v>6</v>
      </c>
      <c r="D13" s="243">
        <v>7283.39686957703</v>
      </c>
      <c r="E13" s="243">
        <v>5915.9849138123091</v>
      </c>
      <c r="F13" s="243">
        <v>4839.5356314896335</v>
      </c>
      <c r="G13" s="243">
        <v>825.4067720005105</v>
      </c>
      <c r="H13" s="243">
        <v>670.4747000957509</v>
      </c>
      <c r="I13" s="243">
        <v>548.50715962209108</v>
      </c>
      <c r="J13" s="243">
        <v>452.63491385143777</v>
      </c>
      <c r="K13" s="243">
        <v>367.6909928535211</v>
      </c>
      <c r="L13" s="243">
        <v>300.81872861525972</v>
      </c>
      <c r="M13" s="243">
        <v>381.63528078227631</v>
      </c>
      <c r="N13" s="243">
        <v>310.02600287477651</v>
      </c>
      <c r="O13" s="243">
        <v>253.64942317293682</v>
      </c>
      <c r="P13" s="243">
        <v>7646.4249115556595</v>
      </c>
      <c r="Q13" s="243">
        <v>6188.5753019242356</v>
      </c>
      <c r="R13" s="243">
        <v>5021.6624902286921</v>
      </c>
      <c r="S13" s="243">
        <v>866.31030697336246</v>
      </c>
      <c r="T13" s="243">
        <v>701.15555848086387</v>
      </c>
      <c r="U13" s="243">
        <v>568.9579952272112</v>
      </c>
      <c r="V13" s="243">
        <v>474.95429835345362</v>
      </c>
      <c r="W13" s="243">
        <v>384.41552551074977</v>
      </c>
      <c r="X13" s="243">
        <v>311.94329003238613</v>
      </c>
      <c r="Y13" s="243">
        <v>400.39663173784356</v>
      </c>
      <c r="Z13" s="243">
        <v>324.07449811561878</v>
      </c>
      <c r="AA13" s="244">
        <v>262.98199113780953</v>
      </c>
    </row>
    <row r="14" spans="3:27" x14ac:dyDescent="0.4">
      <c r="C14" s="242">
        <v>7</v>
      </c>
      <c r="D14" s="243">
        <v>7466.1398668631546</v>
      </c>
      <c r="E14" s="243">
        <v>6064.4769302233544</v>
      </c>
      <c r="F14" s="243">
        <v>4961.0459584339087</v>
      </c>
      <c r="G14" s="243">
        <v>846.13537037235585</v>
      </c>
      <c r="H14" s="243">
        <v>687.32249015644891</v>
      </c>
      <c r="I14" s="243">
        <v>562.29553734988792</v>
      </c>
      <c r="J14" s="243">
        <v>464.00946928468738</v>
      </c>
      <c r="K14" s="243">
        <v>376.93737099282055</v>
      </c>
      <c r="L14" s="243">
        <v>308.38694799207889</v>
      </c>
      <c r="M14" s="243">
        <v>391.22989356508259</v>
      </c>
      <c r="N14" s="243">
        <v>317.82514612005303</v>
      </c>
      <c r="O14" s="243">
        <v>260.03473312541155</v>
      </c>
      <c r="P14" s="243">
        <v>7837.9063085903745</v>
      </c>
      <c r="Q14" s="243">
        <v>6343.5696100021805</v>
      </c>
      <c r="R14" s="243">
        <v>5147.4515596139563</v>
      </c>
      <c r="S14" s="243">
        <v>888.01119841041555</v>
      </c>
      <c r="T14" s="243">
        <v>718.72188544525102</v>
      </c>
      <c r="U14" s="243">
        <v>583.2159989151678</v>
      </c>
      <c r="V14" s="243">
        <v>486.85405951634317</v>
      </c>
      <c r="W14" s="243">
        <v>394.04889967611155</v>
      </c>
      <c r="X14" s="243">
        <v>319.76291223792805</v>
      </c>
      <c r="Y14" s="243">
        <v>410.4293704343898</v>
      </c>
      <c r="Z14" s="243">
        <v>332.19728058903439</v>
      </c>
      <c r="AA14" s="244">
        <v>269.57535200679865</v>
      </c>
    </row>
    <row r="15" spans="3:27" x14ac:dyDescent="0.4">
      <c r="C15" s="242">
        <v>8</v>
      </c>
      <c r="D15" s="243">
        <v>7653.5025795595902</v>
      </c>
      <c r="E15" s="243">
        <v>6216.7217672353099</v>
      </c>
      <c r="F15" s="243">
        <v>5085.6462479758875</v>
      </c>
      <c r="G15" s="243">
        <v>867.39126617048623</v>
      </c>
      <c r="H15" s="243">
        <v>704.59581948658786</v>
      </c>
      <c r="I15" s="243">
        <v>576.43606916537851</v>
      </c>
      <c r="J15" s="243">
        <v>475.67312740036454</v>
      </c>
      <c r="K15" s="243">
        <v>386.41779076632042</v>
      </c>
      <c r="L15" s="243">
        <v>316.14933574018994</v>
      </c>
      <c r="M15" s="243">
        <v>401.06712750339824</v>
      </c>
      <c r="N15" s="243">
        <v>325.82316171898259</v>
      </c>
      <c r="O15" s="243">
        <v>266.58301656926972</v>
      </c>
      <c r="P15" s="243">
        <v>8034.1936987459194</v>
      </c>
      <c r="Q15" s="243">
        <v>6502.4565615834135</v>
      </c>
      <c r="R15" s="243">
        <v>5276.3999517127395</v>
      </c>
      <c r="S15" s="243">
        <v>910.25633810977899</v>
      </c>
      <c r="T15" s="243">
        <v>736.73054881546705</v>
      </c>
      <c r="U15" s="243">
        <v>597.83192534473244</v>
      </c>
      <c r="V15" s="243">
        <v>499.05262211652797</v>
      </c>
      <c r="W15" s="243">
        <v>403.92484120846262</v>
      </c>
      <c r="X15" s="243">
        <v>327.77907649147966</v>
      </c>
      <c r="Y15" s="243">
        <v>420.71473590328679</v>
      </c>
      <c r="Z15" s="243">
        <v>340.52418707443877</v>
      </c>
      <c r="AA15" s="244">
        <v>276.33501319946896</v>
      </c>
    </row>
    <row r="16" spans="3:27" x14ac:dyDescent="0.4">
      <c r="C16" s="242">
        <v>9</v>
      </c>
      <c r="D16" s="243">
        <v>7845.6072603909197</v>
      </c>
      <c r="E16" s="243">
        <v>6372.8219416819429</v>
      </c>
      <c r="F16" s="243">
        <v>5213.3985260643976</v>
      </c>
      <c r="G16" s="243">
        <v>889.18442490065991</v>
      </c>
      <c r="H16" s="243">
        <v>722.30960466625027</v>
      </c>
      <c r="I16" s="243">
        <v>590.93425595591293</v>
      </c>
      <c r="J16" s="243">
        <v>487.63269619942946</v>
      </c>
      <c r="K16" s="243">
        <v>396.13978292587774</v>
      </c>
      <c r="L16" s="243">
        <v>324.10841752566876</v>
      </c>
      <c r="M16" s="243">
        <v>411.15578645327247</v>
      </c>
      <c r="N16" s="243">
        <v>334.02381188697211</v>
      </c>
      <c r="O16" s="243">
        <v>273.29862720908937</v>
      </c>
      <c r="P16" s="243">
        <v>8235.4063658763152</v>
      </c>
      <c r="Q16" s="243">
        <v>6665.335567175257</v>
      </c>
      <c r="R16" s="243">
        <v>5408.5886336253698</v>
      </c>
      <c r="S16" s="243">
        <v>933.06085839444972</v>
      </c>
      <c r="T16" s="243">
        <v>755.19137925962207</v>
      </c>
      <c r="U16" s="243">
        <v>612.81624080960557</v>
      </c>
      <c r="V16" s="243">
        <v>511.55786712108312</v>
      </c>
      <c r="W16" s="243">
        <v>414.04919219721882</v>
      </c>
      <c r="X16" s="243">
        <v>335.99730316482646</v>
      </c>
      <c r="Y16" s="243">
        <v>431.25815151738965</v>
      </c>
      <c r="Z16" s="243">
        <v>349.06126553824345</v>
      </c>
      <c r="AA16" s="244">
        <v>283.26467566536456</v>
      </c>
    </row>
    <row r="17" spans="3:27" x14ac:dyDescent="0.4">
      <c r="C17" s="242">
        <v>10</v>
      </c>
      <c r="D17" s="243">
        <v>8042.5606603166825</v>
      </c>
      <c r="E17" s="243">
        <v>6532.8811081704771</v>
      </c>
      <c r="F17" s="243">
        <v>5344.3948039063907</v>
      </c>
      <c r="G17" s="243">
        <v>911.53064458904294</v>
      </c>
      <c r="H17" s="243">
        <v>740.47195515494138</v>
      </c>
      <c r="I17" s="243">
        <v>605.80352136030922</v>
      </c>
      <c r="J17" s="243">
        <v>499.89534179112621</v>
      </c>
      <c r="K17" s="243">
        <v>406.10912956291526</v>
      </c>
      <c r="L17" s="243">
        <v>332.271138074617</v>
      </c>
      <c r="M17" s="243">
        <v>421.49911542989287</v>
      </c>
      <c r="N17" s="243">
        <v>342.43488908164346</v>
      </c>
      <c r="O17" s="243">
        <v>280.18498820024092</v>
      </c>
      <c r="P17" s="243">
        <v>8441.6749405645733</v>
      </c>
      <c r="Q17" s="243">
        <v>6832.3023859047798</v>
      </c>
      <c r="R17" s="243">
        <v>5544.1021686450322</v>
      </c>
      <c r="S17" s="243">
        <v>956.43802651235308</v>
      </c>
      <c r="T17" s="243">
        <v>774.11663346458238</v>
      </c>
      <c r="U17" s="243">
        <v>628.17718783631756</v>
      </c>
      <c r="V17" s="243">
        <v>524.37771529556107</v>
      </c>
      <c r="W17" s="243">
        <v>424.42818884022813</v>
      </c>
      <c r="X17" s="243">
        <v>344.42258696911631</v>
      </c>
      <c r="Y17" s="243">
        <v>442.06770813646659</v>
      </c>
      <c r="Z17" s="243">
        <v>357.81268896028052</v>
      </c>
      <c r="AA17" s="244">
        <v>290.3696642391746</v>
      </c>
    </row>
    <row r="18" spans="3:27" x14ac:dyDescent="0.4">
      <c r="C18" s="242">
        <v>11</v>
      </c>
      <c r="D18" s="243">
        <v>8244.5155370968077</v>
      </c>
      <c r="E18" s="243">
        <v>6696.9853508670167</v>
      </c>
      <c r="F18" s="243">
        <v>5478.7175110788921</v>
      </c>
      <c r="G18" s="243">
        <v>934.44383092286023</v>
      </c>
      <c r="H18" s="243">
        <v>759.09620297834977</v>
      </c>
      <c r="I18" s="243">
        <v>621.0496812657484</v>
      </c>
      <c r="J18" s="243">
        <v>512.47073345710032</v>
      </c>
      <c r="K18" s="243">
        <v>416.33166914143857</v>
      </c>
      <c r="L18" s="243">
        <v>340.64191764147745</v>
      </c>
      <c r="M18" s="243">
        <v>432.10731209447351</v>
      </c>
      <c r="N18" s="243">
        <v>351.05874732987002</v>
      </c>
      <c r="O18" s="243">
        <v>287.24856500260393</v>
      </c>
      <c r="P18" s="243">
        <v>8653.1141786334047</v>
      </c>
      <c r="Q18" s="243">
        <v>7003.4694426420647</v>
      </c>
      <c r="R18" s="243">
        <v>5683.0175162925125</v>
      </c>
      <c r="S18" s="243">
        <v>980.40243446873524</v>
      </c>
      <c r="T18" s="243">
        <v>793.51784107950573</v>
      </c>
      <c r="U18" s="243">
        <v>643.92489284463488</v>
      </c>
      <c r="V18" s="243">
        <v>537.51946490155569</v>
      </c>
      <c r="W18" s="243">
        <v>435.06887288974207</v>
      </c>
      <c r="X18" s="243">
        <v>353.05997308098091</v>
      </c>
      <c r="Y18" s="243">
        <v>453.14848898027145</v>
      </c>
      <c r="Z18" s="243">
        <v>366.78538427430067</v>
      </c>
      <c r="AA18" s="244">
        <v>297.65324579524918</v>
      </c>
    </row>
    <row r="19" spans="3:27" x14ac:dyDescent="0.4">
      <c r="C19" s="242">
        <v>12</v>
      </c>
      <c r="D19" s="243">
        <v>8451.5612770237913</v>
      </c>
      <c r="E19" s="243">
        <v>6865.2677025200674</v>
      </c>
      <c r="F19" s="243">
        <v>5616.443265467633</v>
      </c>
      <c r="G19" s="243">
        <v>957.93677134582117</v>
      </c>
      <c r="H19" s="243">
        <v>778.19422575365115</v>
      </c>
      <c r="I19" s="243">
        <v>636.6849743432274</v>
      </c>
      <c r="J19" s="243">
        <v>525.36362869672462</v>
      </c>
      <c r="K19" s="243">
        <v>426.81589656146099</v>
      </c>
      <c r="L19" s="243">
        <v>349.22611968767029</v>
      </c>
      <c r="M19" s="243">
        <v>442.98407879848054</v>
      </c>
      <c r="N19" s="243">
        <v>359.90422470373352</v>
      </c>
      <c r="O19" s="243">
        <v>294.49125342467323</v>
      </c>
      <c r="P19" s="243">
        <v>8869.8724523820674</v>
      </c>
      <c r="Q19" s="243">
        <v>7178.9291851813996</v>
      </c>
      <c r="R19" s="243">
        <v>5825.4322450120872</v>
      </c>
      <c r="S19" s="243">
        <v>1004.9696288746221</v>
      </c>
      <c r="T19" s="243">
        <v>813.40658310003596</v>
      </c>
      <c r="U19" s="243">
        <v>660.06925935804134</v>
      </c>
      <c r="V19" s="243">
        <v>550.99261820814604</v>
      </c>
      <c r="W19" s="243">
        <v>445.97681014805124</v>
      </c>
      <c r="X19" s="243">
        <v>361.91562937479296</v>
      </c>
      <c r="Y19" s="243">
        <v>464.50883820283639</v>
      </c>
      <c r="Z19" s="243">
        <v>375.98363524885451</v>
      </c>
      <c r="AA19" s="244">
        <v>305.12133879587083</v>
      </c>
    </row>
    <row r="20" spans="3:27" x14ac:dyDescent="0.4">
      <c r="C20" s="242">
        <v>13</v>
      </c>
      <c r="D20" s="243">
        <v>8663.8735650988474</v>
      </c>
      <c r="E20" s="243">
        <v>7037.7973729576161</v>
      </c>
      <c r="F20" s="243">
        <v>5757.6816297150071</v>
      </c>
      <c r="G20" s="243">
        <v>982.02857533553117</v>
      </c>
      <c r="H20" s="243">
        <v>797.77637031002507</v>
      </c>
      <c r="I20" s="243">
        <v>652.71867725191441</v>
      </c>
      <c r="J20" s="243">
        <v>538.58739588085825</v>
      </c>
      <c r="K20" s="243">
        <v>437.56534683883683</v>
      </c>
      <c r="L20" s="243">
        <v>358.03065467459362</v>
      </c>
      <c r="M20" s="243">
        <v>454.13833884554032</v>
      </c>
      <c r="N20" s="243">
        <v>368.97434137694052</v>
      </c>
      <c r="O20" s="243">
        <v>301.92109594672718</v>
      </c>
      <c r="P20" s="243">
        <v>9092.0648151497426</v>
      </c>
      <c r="Q20" s="243">
        <v>7358.8071150747755</v>
      </c>
      <c r="R20" s="243">
        <v>5971.4209739439084</v>
      </c>
      <c r="S20" s="243">
        <v>1030.1532762656252</v>
      </c>
      <c r="T20" s="243">
        <v>833.79662870380889</v>
      </c>
      <c r="U20" s="243">
        <v>676.61963876392099</v>
      </c>
      <c r="V20" s="243">
        <v>564.80381489530657</v>
      </c>
      <c r="W20" s="243">
        <v>457.16060914487747</v>
      </c>
      <c r="X20" s="243">
        <v>370.99388144287451</v>
      </c>
      <c r="Y20" s="243">
        <v>476.15487118455815</v>
      </c>
      <c r="Z20" s="243">
        <v>385.41418121157074</v>
      </c>
      <c r="AA20" s="244">
        <v>312.77753882520591</v>
      </c>
    </row>
    <row r="21" spans="3:27" x14ac:dyDescent="0.4">
      <c r="C21" s="242">
        <v>14</v>
      </c>
      <c r="D21" s="243">
        <v>8881.5450328202987</v>
      </c>
      <c r="E21" s="243">
        <v>7214.7265088287122</v>
      </c>
      <c r="F21" s="243">
        <v>5902.489637731991</v>
      </c>
      <c r="G21" s="243">
        <v>1006.7282513250931</v>
      </c>
      <c r="H21" s="243">
        <v>817.85943743738983</v>
      </c>
      <c r="I21" s="243">
        <v>669.16023111321601</v>
      </c>
      <c r="J21" s="243">
        <v>552.14524524981607</v>
      </c>
      <c r="K21" s="243">
        <v>448.5918759623529</v>
      </c>
      <c r="L21" s="243">
        <v>367.05868581775422</v>
      </c>
      <c r="M21" s="243">
        <v>465.57677190716265</v>
      </c>
      <c r="N21" s="243">
        <v>378.27657764425669</v>
      </c>
      <c r="O21" s="243">
        <v>309.53996252194344</v>
      </c>
      <c r="P21" s="243">
        <v>9319.8442792711794</v>
      </c>
      <c r="Q21" s="243">
        <v>7543.1988977351011</v>
      </c>
      <c r="R21" s="243">
        <v>6121.0893569475347</v>
      </c>
      <c r="S21" s="243">
        <v>1055.971745125491</v>
      </c>
      <c r="T21" s="243">
        <v>854.69840412806195</v>
      </c>
      <c r="U21" s="243">
        <v>693.5880262483239</v>
      </c>
      <c r="V21" s="243">
        <v>578.96386838510671</v>
      </c>
      <c r="W21" s="243">
        <v>468.62534902566188</v>
      </c>
      <c r="X21" s="243">
        <v>380.30239329187623</v>
      </c>
      <c r="Y21" s="243">
        <v>488.09432244985072</v>
      </c>
      <c r="Z21" s="243">
        <v>395.08254132124654</v>
      </c>
      <c r="AA21" s="244">
        <v>320.62741530311934</v>
      </c>
    </row>
    <row r="22" spans="3:27" x14ac:dyDescent="0.4">
      <c r="C22" s="242">
        <v>15</v>
      </c>
      <c r="D22" s="243">
        <v>9104.7414453529345</v>
      </c>
      <c r="E22" s="243">
        <v>7396.130292235659</v>
      </c>
      <c r="F22" s="243">
        <v>6051.0050146843378</v>
      </c>
      <c r="G22" s="243">
        <v>1032.0602980088611</v>
      </c>
      <c r="H22" s="243">
        <v>838.45029484983081</v>
      </c>
      <c r="I22" s="243">
        <v>686.02347524121933</v>
      </c>
      <c r="J22" s="243">
        <v>566.0500812541635</v>
      </c>
      <c r="K22" s="243">
        <v>459.89772777054156</v>
      </c>
      <c r="L22" s="243">
        <v>376.32034992999223</v>
      </c>
      <c r="M22" s="243">
        <v>477.30565292977531</v>
      </c>
      <c r="N22" s="243">
        <v>387.81679317076407</v>
      </c>
      <c r="O22" s="243">
        <v>317.3548433075718</v>
      </c>
      <c r="P22" s="243">
        <v>9553.340676433776</v>
      </c>
      <c r="Q22" s="243">
        <v>7732.2297648742606</v>
      </c>
      <c r="R22" s="243">
        <v>6274.5175427050171</v>
      </c>
      <c r="S22" s="243">
        <v>1082.4378568003012</v>
      </c>
      <c r="T22" s="243">
        <v>876.12841089696417</v>
      </c>
      <c r="U22" s="243">
        <v>710.98273149494787</v>
      </c>
      <c r="V22" s="243">
        <v>593.47963211882609</v>
      </c>
      <c r="W22" s="243">
        <v>480.38001952247015</v>
      </c>
      <c r="X22" s="243">
        <v>389.84506947634742</v>
      </c>
      <c r="Y22" s="243">
        <v>500.33494162367725</v>
      </c>
      <c r="Z22" s="243">
        <v>404.99465833766271</v>
      </c>
      <c r="AA22" s="244">
        <v>328.67577477618471</v>
      </c>
    </row>
    <row r="23" spans="3:27" x14ac:dyDescent="0.4">
      <c r="C23" s="242">
        <v>16</v>
      </c>
      <c r="D23" s="243">
        <v>9333.5941118808169</v>
      </c>
      <c r="E23" s="243">
        <v>7582.1490119694263</v>
      </c>
      <c r="F23" s="243">
        <v>6203.2799121701455</v>
      </c>
      <c r="G23" s="243">
        <v>1058.0325957846517</v>
      </c>
      <c r="H23" s="243">
        <v>859.5702297599089</v>
      </c>
      <c r="I23" s="243">
        <v>703.31406754424108</v>
      </c>
      <c r="J23" s="243">
        <v>580.3083489676219</v>
      </c>
      <c r="K23" s="243">
        <v>471.49395722919991</v>
      </c>
      <c r="L23" s="243">
        <v>385.81722815139722</v>
      </c>
      <c r="M23" s="243">
        <v>489.33555990505624</v>
      </c>
      <c r="N23" s="243">
        <v>397.59987993440581</v>
      </c>
      <c r="O23" s="243">
        <v>325.37022075352911</v>
      </c>
      <c r="P23" s="243">
        <v>9792.7040304679358</v>
      </c>
      <c r="Q23" s="243">
        <v>7926.012919135027</v>
      </c>
      <c r="R23" s="243">
        <v>6431.8099299247697</v>
      </c>
      <c r="S23" s="243">
        <v>1109.5715647471891</v>
      </c>
      <c r="T23" s="243">
        <v>898.09661272635651</v>
      </c>
      <c r="U23" s="243">
        <v>728.81785313585442</v>
      </c>
      <c r="V23" s="243">
        <v>608.36163388433943</v>
      </c>
      <c r="W23" s="243">
        <v>492.43076139609883</v>
      </c>
      <c r="X23" s="243">
        <v>399.62954569159041</v>
      </c>
      <c r="Y23" s="243">
        <v>512.88339630526229</v>
      </c>
      <c r="Z23" s="243">
        <v>415.15769878851552</v>
      </c>
      <c r="AA23" s="244">
        <v>336.92733610836376</v>
      </c>
    </row>
    <row r="24" spans="3:27" x14ac:dyDescent="0.4">
      <c r="C24" s="242">
        <v>17</v>
      </c>
      <c r="D24" s="243">
        <v>9568.2397494772376</v>
      </c>
      <c r="E24" s="243">
        <v>7772.8942403917636</v>
      </c>
      <c r="F24" s="243">
        <v>6359.4434938098029</v>
      </c>
      <c r="G24" s="243">
        <v>1084.6679580898913</v>
      </c>
      <c r="H24" s="243">
        <v>881.22549724555563</v>
      </c>
      <c r="I24" s="243">
        <v>721.05140652334092</v>
      </c>
      <c r="J24" s="243">
        <v>594.93000644904703</v>
      </c>
      <c r="K24" s="243">
        <v>483.38610089364386</v>
      </c>
      <c r="L24" s="243">
        <v>395.55942888804196</v>
      </c>
      <c r="M24" s="243">
        <v>501.66936492434843</v>
      </c>
      <c r="N24" s="243">
        <v>407.63539992187913</v>
      </c>
      <c r="O24" s="243">
        <v>333.59065344674286</v>
      </c>
      <c r="P24" s="243">
        <v>10038.086212690783</v>
      </c>
      <c r="Q24" s="243">
        <v>8124.6671594250029</v>
      </c>
      <c r="R24" s="243">
        <v>6593.0627111617196</v>
      </c>
      <c r="S24" s="243">
        <v>1137.3869955734015</v>
      </c>
      <c r="T24" s="243">
        <v>920.61948892673365</v>
      </c>
      <c r="U24" s="243">
        <v>747.10165512968149</v>
      </c>
      <c r="V24" s="243">
        <v>623.61862690379166</v>
      </c>
      <c r="W24" s="243">
        <v>504.78583104142797</v>
      </c>
      <c r="X24" s="243">
        <v>409.66108154669547</v>
      </c>
      <c r="Y24" s="243">
        <v>525.74955863789808</v>
      </c>
      <c r="Z24" s="243">
        <v>425.57639606390626</v>
      </c>
      <c r="AA24" s="244">
        <v>345.38849263901852</v>
      </c>
    </row>
    <row r="25" spans="3:27" x14ac:dyDescent="0.4">
      <c r="C25" s="242">
        <v>18</v>
      </c>
      <c r="D25" s="243">
        <v>9808.8606709771793</v>
      </c>
      <c r="E25" s="243">
        <v>7968.4778959447694</v>
      </c>
      <c r="F25" s="243">
        <v>6519.5817221257967</v>
      </c>
      <c r="G25" s="243">
        <v>1111.9806560451054</v>
      </c>
      <c r="H25" s="243">
        <v>903.4354801706919</v>
      </c>
      <c r="I25" s="243">
        <v>739.23908521831629</v>
      </c>
      <c r="J25" s="243">
        <v>609.92607096383131</v>
      </c>
      <c r="K25" s="243">
        <v>495.58225756142718</v>
      </c>
      <c r="L25" s="243">
        <v>405.55087366585047</v>
      </c>
      <c r="M25" s="243">
        <v>514.32194058577886</v>
      </c>
      <c r="N25" s="243">
        <v>417.9251887057851</v>
      </c>
      <c r="O25" s="243">
        <v>342.02408309926454</v>
      </c>
      <c r="P25" s="243">
        <v>10289.627635335619</v>
      </c>
      <c r="Q25" s="243">
        <v>8328.326775290423</v>
      </c>
      <c r="R25" s="243">
        <v>6758.3723769969647</v>
      </c>
      <c r="S25" s="243">
        <v>1165.9033040935794</v>
      </c>
      <c r="T25" s="243">
        <v>943.70963189226541</v>
      </c>
      <c r="U25" s="243">
        <v>765.84789115596811</v>
      </c>
      <c r="V25" s="243">
        <v>639.25994721546158</v>
      </c>
      <c r="W25" s="243">
        <v>517.45327053346034</v>
      </c>
      <c r="X25" s="243">
        <v>419.94637763431831</v>
      </c>
      <c r="Y25" s="243">
        <v>538.93886295727884</v>
      </c>
      <c r="Z25" s="243">
        <v>436.26004128431759</v>
      </c>
      <c r="AA25" s="244">
        <v>354.06273729988078</v>
      </c>
    </row>
    <row r="26" spans="3:27" x14ac:dyDescent="0.4">
      <c r="C26" s="242">
        <v>19</v>
      </c>
      <c r="D26" s="243">
        <v>10055.552454308605</v>
      </c>
      <c r="E26" s="243">
        <v>8169.0593157505391</v>
      </c>
      <c r="F26" s="243">
        <v>6683.7967415679486</v>
      </c>
      <c r="G26" s="243">
        <v>1139.9881878204342</v>
      </c>
      <c r="H26" s="243">
        <v>926.21247911428054</v>
      </c>
      <c r="I26" s="243">
        <v>757.89517333853155</v>
      </c>
      <c r="J26" s="243">
        <v>625.3022865797592</v>
      </c>
      <c r="K26" s="243">
        <v>508.09230750301447</v>
      </c>
      <c r="L26" s="243">
        <v>415.79912577205431</v>
      </c>
      <c r="M26" s="243">
        <v>527.29461061014933</v>
      </c>
      <c r="N26" s="243">
        <v>428.48218680672596</v>
      </c>
      <c r="O26" s="243">
        <v>350.67188603215567</v>
      </c>
      <c r="P26" s="243">
        <v>10547.507912079416</v>
      </c>
      <c r="Q26" s="243">
        <v>8537.0994974043315</v>
      </c>
      <c r="R26" s="243">
        <v>6927.8556335265748</v>
      </c>
      <c r="S26" s="243">
        <v>1195.1380924655232</v>
      </c>
      <c r="T26" s="243">
        <v>967.38204317698126</v>
      </c>
      <c r="U26" s="243">
        <v>785.06739108349075</v>
      </c>
      <c r="V26" s="243">
        <v>655.2968327255536</v>
      </c>
      <c r="W26" s="243">
        <v>530.43998406051355</v>
      </c>
      <c r="X26" s="243">
        <v>430.49254637878926</v>
      </c>
      <c r="Y26" s="243">
        <v>552.46281369690723</v>
      </c>
      <c r="Z26" s="243">
        <v>447.21248367191214</v>
      </c>
      <c r="AA26" s="244">
        <v>362.95841392110651</v>
      </c>
    </row>
    <row r="27" spans="3:27" x14ac:dyDescent="0.4">
      <c r="C27" s="242">
        <v>20</v>
      </c>
      <c r="D27" s="243">
        <v>10308.563495156355</v>
      </c>
      <c r="E27" s="243">
        <v>8374.7116545598328</v>
      </c>
      <c r="F27" s="243">
        <v>6852.2189209956496</v>
      </c>
      <c r="G27" s="243">
        <v>1168.7131992510956</v>
      </c>
      <c r="H27" s="243">
        <v>949.57067104782902</v>
      </c>
      <c r="I27" s="243">
        <v>777.02883186610973</v>
      </c>
      <c r="J27" s="243">
        <v>641.07560097799717</v>
      </c>
      <c r="K27" s="243">
        <v>520.92026479615299</v>
      </c>
      <c r="L27" s="243">
        <v>426.31215601485565</v>
      </c>
      <c r="M27" s="243">
        <v>540.600685279804</v>
      </c>
      <c r="N27" s="243">
        <v>439.30743426992797</v>
      </c>
      <c r="O27" s="243">
        <v>359.54606309983535</v>
      </c>
      <c r="P27" s="243">
        <v>10811.856967602702</v>
      </c>
      <c r="Q27" s="243">
        <v>8751.1468872227706</v>
      </c>
      <c r="R27" s="243">
        <v>7101.5969518773372</v>
      </c>
      <c r="S27" s="243">
        <v>1225.1084873726218</v>
      </c>
      <c r="T27" s="243">
        <v>991.65278913961777</v>
      </c>
      <c r="U27" s="243">
        <v>804.77228068471948</v>
      </c>
      <c r="V27" s="243">
        <v>671.73681430941633</v>
      </c>
      <c r="W27" s="243">
        <v>543.75651422400358</v>
      </c>
      <c r="X27" s="243">
        <v>441.30486837059362</v>
      </c>
      <c r="Y27" s="243">
        <v>566.32701070218741</v>
      </c>
      <c r="Z27" s="243">
        <v>458.44321168399665</v>
      </c>
      <c r="AA27" s="244">
        <v>372.07836000384162</v>
      </c>
    </row>
    <row r="28" spans="3:27" x14ac:dyDescent="0.4">
      <c r="C28" s="242">
        <v>21</v>
      </c>
      <c r="D28" s="243">
        <v>10567.963131105667</v>
      </c>
      <c r="E28" s="243">
        <v>8585.6528646282604</v>
      </c>
      <c r="F28" s="243">
        <v>7024.9123866623322</v>
      </c>
      <c r="G28" s="243">
        <v>1198.1657464498558</v>
      </c>
      <c r="H28" s="243">
        <v>973.53024832033293</v>
      </c>
      <c r="I28" s="243">
        <v>796.65322649617326</v>
      </c>
      <c r="J28" s="243">
        <v>657.24803179445973</v>
      </c>
      <c r="K28" s="243">
        <v>534.08164848559056</v>
      </c>
      <c r="L28" s="243">
        <v>437.09365711868497</v>
      </c>
      <c r="M28" s="243">
        <v>554.24623409896242</v>
      </c>
      <c r="N28" s="243">
        <v>450.41206619244281</v>
      </c>
      <c r="O28" s="243">
        <v>368.64633808451146</v>
      </c>
      <c r="P28" s="243">
        <v>11082.876739134939</v>
      </c>
      <c r="Q28" s="243">
        <v>8970.5694216707598</v>
      </c>
      <c r="R28" s="243">
        <v>7279.739312620296</v>
      </c>
      <c r="S28" s="243">
        <v>1255.8366330809949</v>
      </c>
      <c r="T28" s="243">
        <v>1016.5345464620946</v>
      </c>
      <c r="U28" s="243">
        <v>824.97677400038208</v>
      </c>
      <c r="V28" s="243">
        <v>688.59437243317097</v>
      </c>
      <c r="W28" s="243">
        <v>557.40818409459166</v>
      </c>
      <c r="X28" s="243">
        <v>452.39286777209855</v>
      </c>
      <c r="Y28" s="243">
        <v>580.54219065510415</v>
      </c>
      <c r="Z28" s="243">
        <v>469.95757621708009</v>
      </c>
      <c r="AA28" s="244">
        <v>381.43055261722492</v>
      </c>
    </row>
    <row r="29" spans="3:27" x14ac:dyDescent="0.4">
      <c r="C29" s="242">
        <v>22</v>
      </c>
      <c r="D29" s="243">
        <v>10833.991404133905</v>
      </c>
      <c r="E29" s="243">
        <v>8801.9345737477888</v>
      </c>
      <c r="F29" s="243">
        <v>7202.0642488861968</v>
      </c>
      <c r="G29" s="243">
        <v>1228.3792647200544</v>
      </c>
      <c r="H29" s="243">
        <v>998.09818905093425</v>
      </c>
      <c r="I29" s="243">
        <v>816.78483682681428</v>
      </c>
      <c r="J29" s="243">
        <v>673.83824641427111</v>
      </c>
      <c r="K29" s="243">
        <v>547.57719842747952</v>
      </c>
      <c r="L29" s="243">
        <v>448.15692917729922</v>
      </c>
      <c r="M29" s="243">
        <v>568.23995722562222</v>
      </c>
      <c r="N29" s="243">
        <v>461.80172237578779</v>
      </c>
      <c r="O29" s="243">
        <v>377.98329693574328</v>
      </c>
      <c r="P29" s="243">
        <v>11360.702174302549</v>
      </c>
      <c r="Q29" s="243">
        <v>9195.5340757863687</v>
      </c>
      <c r="R29" s="243">
        <v>7462.36040435204</v>
      </c>
      <c r="S29" s="243">
        <v>1287.3367199799688</v>
      </c>
      <c r="T29" s="243">
        <v>1042.0479140920008</v>
      </c>
      <c r="U29" s="243">
        <v>845.6905255285393</v>
      </c>
      <c r="V29" s="243">
        <v>705.87571963763321</v>
      </c>
      <c r="W29" s="243">
        <v>571.40756956791199</v>
      </c>
      <c r="X29" s="243">
        <v>463.76045679481422</v>
      </c>
      <c r="Y29" s="243">
        <v>595.11651940261731</v>
      </c>
      <c r="Z29" s="243">
        <v>481.76367756304347</v>
      </c>
      <c r="AA29" s="244">
        <v>391.01973741523403</v>
      </c>
    </row>
    <row r="30" spans="3:27" x14ac:dyDescent="0.4">
      <c r="C30" s="242">
        <v>23</v>
      </c>
      <c r="D30" s="243">
        <v>11106.776916872377</v>
      </c>
      <c r="E30" s="243">
        <v>9023.7623017377937</v>
      </c>
      <c r="F30" s="243">
        <v>7383.7121205744825</v>
      </c>
      <c r="G30" s="243">
        <v>1259.3583529021357</v>
      </c>
      <c r="H30" s="243">
        <v>1023.3049238007691</v>
      </c>
      <c r="I30" s="243">
        <v>837.43005094470038</v>
      </c>
      <c r="J30" s="243">
        <v>690.85062875838025</v>
      </c>
      <c r="K30" s="243">
        <v>561.42304616331933</v>
      </c>
      <c r="L30" s="243">
        <v>459.5021668319759</v>
      </c>
      <c r="M30" s="243">
        <v>582.59425548280888</v>
      </c>
      <c r="N30" s="243">
        <v>473.48300212012339</v>
      </c>
      <c r="O30" s="243">
        <v>387.56103388579584</v>
      </c>
      <c r="P30" s="243">
        <v>11645.531010312006</v>
      </c>
      <c r="Q30" s="243">
        <v>9426.1618016835037</v>
      </c>
      <c r="R30" s="243">
        <v>7649.6026931533206</v>
      </c>
      <c r="S30" s="243">
        <v>1319.6362795698535</v>
      </c>
      <c r="T30" s="243">
        <v>1068.203382514648</v>
      </c>
      <c r="U30" s="243">
        <v>866.93216133065641</v>
      </c>
      <c r="V30" s="243">
        <v>723.59564823373807</v>
      </c>
      <c r="W30" s="243">
        <v>585.7599954152123</v>
      </c>
      <c r="X30" s="243">
        <v>475.41833941551795</v>
      </c>
      <c r="Y30" s="243">
        <v>610.05866966855979</v>
      </c>
      <c r="Z30" s="243">
        <v>493.86947714696799</v>
      </c>
      <c r="AA30" s="244">
        <v>400.85231636572303</v>
      </c>
    </row>
    <row r="31" spans="3:27" x14ac:dyDescent="0.4">
      <c r="C31" s="242">
        <v>24</v>
      </c>
      <c r="D31" s="243">
        <v>11386.50988808008</v>
      </c>
      <c r="E31" s="243">
        <v>9251.2464017647981</v>
      </c>
      <c r="F31" s="243">
        <v>7570.0441103538133</v>
      </c>
      <c r="G31" s="243">
        <v>1291.1365239269774</v>
      </c>
      <c r="H31" s="243">
        <v>1049.1526128880794</v>
      </c>
      <c r="I31" s="243">
        <v>858.61490869411443</v>
      </c>
      <c r="J31" s="243">
        <v>708.29961545774324</v>
      </c>
      <c r="K31" s="243">
        <v>575.62320432537888</v>
      </c>
      <c r="L31" s="243">
        <v>471.14435909705185</v>
      </c>
      <c r="M31" s="243">
        <v>597.31149510444277</v>
      </c>
      <c r="N31" s="243">
        <v>485.4677361604214</v>
      </c>
      <c r="O31" s="243">
        <v>397.38576101689171</v>
      </c>
      <c r="P31" s="243">
        <v>11937.531858400393</v>
      </c>
      <c r="Q31" s="243">
        <v>9662.6074907284728</v>
      </c>
      <c r="R31" s="243">
        <v>7841.5686549821612</v>
      </c>
      <c r="S31" s="243">
        <v>1352.7482327368955</v>
      </c>
      <c r="T31" s="243">
        <v>1095.0238205745991</v>
      </c>
      <c r="U31" s="243">
        <v>888.70942956059798</v>
      </c>
      <c r="V31" s="243">
        <v>741.76268299170226</v>
      </c>
      <c r="W31" s="243">
        <v>600.47709557571375</v>
      </c>
      <c r="X31" s="243">
        <v>487.37114607607236</v>
      </c>
      <c r="Y31" s="243">
        <v>625.38020747982353</v>
      </c>
      <c r="Z31" s="243">
        <v>506.28085339424996</v>
      </c>
      <c r="AA31" s="244">
        <v>410.93556206528467</v>
      </c>
    </row>
    <row r="32" spans="3:27" x14ac:dyDescent="0.4">
      <c r="C32" s="242">
        <v>25</v>
      </c>
      <c r="D32" s="243">
        <v>11673.401365386862</v>
      </c>
      <c r="E32" s="243">
        <v>9484.5431569832544</v>
      </c>
      <c r="F32" s="243">
        <v>7761.140037296761</v>
      </c>
      <c r="G32" s="243">
        <v>1323.7258951680524</v>
      </c>
      <c r="H32" s="243">
        <v>1075.6700736936341</v>
      </c>
      <c r="I32" s="243">
        <v>880.34050861780338</v>
      </c>
      <c r="J32" s="243">
        <v>726.19698102417749</v>
      </c>
      <c r="K32" s="243">
        <v>590.18929205742029</v>
      </c>
      <c r="L32" s="243">
        <v>483.08569148169232</v>
      </c>
      <c r="M32" s="243">
        <v>612.41239636622822</v>
      </c>
      <c r="N32" s="243">
        <v>497.75626263713463</v>
      </c>
      <c r="O32" s="243">
        <v>407.46756766604227</v>
      </c>
      <c r="P32" s="243">
        <v>12236.883261648158</v>
      </c>
      <c r="Q32" s="243">
        <v>9905.0258374965833</v>
      </c>
      <c r="R32" s="243">
        <v>8038.3853562975719</v>
      </c>
      <c r="S32" s="243">
        <v>1386.6994314170524</v>
      </c>
      <c r="T32" s="243">
        <v>1122.52131104929</v>
      </c>
      <c r="U32" s="243">
        <v>911.04179670168844</v>
      </c>
      <c r="V32" s="243">
        <v>760.389530356705</v>
      </c>
      <c r="W32" s="243">
        <v>615.56722312652687</v>
      </c>
      <c r="X32" s="243">
        <v>499.62830939752592</v>
      </c>
      <c r="Y32" s="243">
        <v>641.08684332798578</v>
      </c>
      <c r="Z32" s="243">
        <v>519.00915290119826</v>
      </c>
      <c r="AA32" s="244">
        <v>421.27364525475912</v>
      </c>
    </row>
    <row r="33" spans="3:27" x14ac:dyDescent="0.4">
      <c r="C33" s="242">
        <v>26</v>
      </c>
      <c r="D33" s="243">
        <v>11967.569081922255</v>
      </c>
      <c r="E33" s="243">
        <v>9723.8392306739825</v>
      </c>
      <c r="F33" s="243">
        <v>7957.1446210837421</v>
      </c>
      <c r="G33" s="243">
        <v>1357.1513376377593</v>
      </c>
      <c r="H33" s="243">
        <v>1102.8681178913828</v>
      </c>
      <c r="I33" s="243">
        <v>902.63335122557078</v>
      </c>
      <c r="J33" s="243">
        <v>744.54979310580336</v>
      </c>
      <c r="K33" s="243">
        <v>605.13252201795967</v>
      </c>
      <c r="L33" s="243">
        <v>495.33716493011224</v>
      </c>
      <c r="M33" s="243">
        <v>627.89456594541014</v>
      </c>
      <c r="N33" s="243">
        <v>510.36855581257214</v>
      </c>
      <c r="O33" s="243">
        <v>417.80645923447742</v>
      </c>
      <c r="P33" s="243">
        <v>12543.798883235244</v>
      </c>
      <c r="Q33" s="243">
        <v>10153.550236760801</v>
      </c>
      <c r="R33" s="243">
        <v>8240.1887063213126</v>
      </c>
      <c r="S33" s="243">
        <v>1421.5082755060955</v>
      </c>
      <c r="T33" s="243">
        <v>1150.7166522308373</v>
      </c>
      <c r="U33" s="243">
        <v>933.93974854531291</v>
      </c>
      <c r="V33" s="243">
        <v>779.48869137382553</v>
      </c>
      <c r="W33" s="243">
        <v>631.0395032192755</v>
      </c>
      <c r="X33" s="243">
        <v>512.19741436140328</v>
      </c>
      <c r="Y33" s="243">
        <v>657.19455675018662</v>
      </c>
      <c r="Z33" s="243">
        <v>532.05791678485912</v>
      </c>
      <c r="AA33" s="244">
        <v>431.87713496439943</v>
      </c>
    </row>
    <row r="34" spans="3:27" x14ac:dyDescent="0.4">
      <c r="C34" s="242">
        <v>27</v>
      </c>
      <c r="D34" s="243">
        <v>12269.328069554469</v>
      </c>
      <c r="E34" s="243">
        <v>9969.2202378738293</v>
      </c>
      <c r="F34" s="243">
        <v>8158.2080000505666</v>
      </c>
      <c r="G34" s="243">
        <v>1391.4382397305371</v>
      </c>
      <c r="H34" s="243">
        <v>1130.7665816582989</v>
      </c>
      <c r="I34" s="243">
        <v>925.50061386015318</v>
      </c>
      <c r="J34" s="243">
        <v>763.37957965323392</v>
      </c>
      <c r="K34" s="243">
        <v>620.4571889015773</v>
      </c>
      <c r="L34" s="243">
        <v>507.90791021730183</v>
      </c>
      <c r="M34" s="243">
        <v>643.77815527012854</v>
      </c>
      <c r="N34" s="243">
        <v>523.30090161138435</v>
      </c>
      <c r="O34" s="243">
        <v>428.42065853393274</v>
      </c>
      <c r="P34" s="243">
        <v>12858.428036829097</v>
      </c>
      <c r="Q34" s="243">
        <v>10408.37995054364</v>
      </c>
      <c r="R34" s="243">
        <v>8447.0824289521843</v>
      </c>
      <c r="S34" s="243">
        <v>1457.1975947935175</v>
      </c>
      <c r="T34" s="243">
        <v>1179.6274373487051</v>
      </c>
      <c r="U34" s="243">
        <v>957.420071675391</v>
      </c>
      <c r="V34" s="243">
        <v>799.06949182393453</v>
      </c>
      <c r="W34" s="243">
        <v>646.90625740863254</v>
      </c>
      <c r="X34" s="243">
        <v>525.08534466800643</v>
      </c>
      <c r="Y34" s="243">
        <v>673.70700290706793</v>
      </c>
      <c r="Z34" s="243">
        <v>545.44068734303323</v>
      </c>
      <c r="AA34" s="244">
        <v>442.74825206310197</v>
      </c>
    </row>
    <row r="35" spans="3:27" x14ac:dyDescent="0.4">
      <c r="C35" s="242">
        <v>28</v>
      </c>
      <c r="D35" s="243">
        <v>12578.733864362568</v>
      </c>
      <c r="E35" s="243">
        <v>10220.973375877038</v>
      </c>
      <c r="F35" s="243">
        <v>8364.4098788718529</v>
      </c>
      <c r="G35" s="243">
        <v>1426.5983743865752</v>
      </c>
      <c r="H35" s="243">
        <v>1159.3891764068644</v>
      </c>
      <c r="I35" s="243">
        <v>948.96094121689259</v>
      </c>
      <c r="J35" s="243">
        <v>782.68548843461963</v>
      </c>
      <c r="K35" s="243">
        <v>636.18422117182115</v>
      </c>
      <c r="L35" s="243">
        <v>520.80177043408719</v>
      </c>
      <c r="M35" s="243">
        <v>660.06675739833054</v>
      </c>
      <c r="N35" s="243">
        <v>536.57075249088223</v>
      </c>
      <c r="O35" s="243">
        <v>439.30577116176357</v>
      </c>
      <c r="P35" s="243">
        <v>13181.041129084188</v>
      </c>
      <c r="Q35" s="243">
        <v>10669.622549878706</v>
      </c>
      <c r="R35" s="243">
        <v>8659.2449241345621</v>
      </c>
      <c r="S35" s="243">
        <v>1493.7929767659205</v>
      </c>
      <c r="T35" s="243">
        <v>1209.2700025819968</v>
      </c>
      <c r="U35" s="243">
        <v>981.49858350648617</v>
      </c>
      <c r="V35" s="243">
        <v>819.14960152596905</v>
      </c>
      <c r="W35" s="243">
        <v>663.17306511171216</v>
      </c>
      <c r="X35" s="243">
        <v>538.3035420738529</v>
      </c>
      <c r="Y35" s="243">
        <v>690.63978178623211</v>
      </c>
      <c r="Z35" s="243">
        <v>559.16126087597684</v>
      </c>
      <c r="AA35" s="244">
        <v>453.89850222395512</v>
      </c>
    </row>
    <row r="36" spans="3:27" x14ac:dyDescent="0.4">
      <c r="C36" s="242">
        <v>29</v>
      </c>
      <c r="D36" s="243">
        <v>12896.132106634721</v>
      </c>
      <c r="E36" s="243">
        <v>10479.127273876891</v>
      </c>
      <c r="F36" s="243">
        <v>8575.9928662285456</v>
      </c>
      <c r="G36" s="243">
        <v>1462.674557353922</v>
      </c>
      <c r="H36" s="243">
        <v>1188.7427468870251</v>
      </c>
      <c r="I36" s="243">
        <v>973.03379926762568</v>
      </c>
      <c r="J36" s="243">
        <v>802.4956326835711</v>
      </c>
      <c r="K36" s="243">
        <v>652.31085105455861</v>
      </c>
      <c r="L36" s="243">
        <v>534.03741224295095</v>
      </c>
      <c r="M36" s="243">
        <v>676.77293466522099</v>
      </c>
      <c r="N36" s="243">
        <v>550.18229602544795</v>
      </c>
      <c r="O36" s="243">
        <v>450.47833488911198</v>
      </c>
      <c r="P36" s="243">
        <v>13511.767584567411</v>
      </c>
      <c r="Q36" s="243">
        <v>10937.512607090794</v>
      </c>
      <c r="R36" s="243">
        <v>8876.7578043800204</v>
      </c>
      <c r="S36" s="243">
        <v>1531.3112880640019</v>
      </c>
      <c r="T36" s="243">
        <v>1239.6691525997553</v>
      </c>
      <c r="U36" s="243">
        <v>1006.1875480483872</v>
      </c>
      <c r="V36" s="243">
        <v>839.73473562274069</v>
      </c>
      <c r="W36" s="243">
        <v>679.85739322325128</v>
      </c>
      <c r="X36" s="243">
        <v>551.85564607688718</v>
      </c>
      <c r="Y36" s="243">
        <v>708.00005521674166</v>
      </c>
      <c r="Z36" s="243">
        <v>573.23138539140632</v>
      </c>
      <c r="AA36" s="244">
        <v>465.33153863858405</v>
      </c>
    </row>
    <row r="37" spans="3:27" x14ac:dyDescent="0.4">
      <c r="C37" s="242">
        <v>30</v>
      </c>
      <c r="D37" s="243">
        <v>13221.619743510842</v>
      </c>
      <c r="E37" s="243">
        <v>10743.981042365796</v>
      </c>
      <c r="F37" s="243">
        <v>8792.9754021033714</v>
      </c>
      <c r="G37" s="243">
        <v>1499.6662265615162</v>
      </c>
      <c r="H37" s="243">
        <v>1218.8681201749112</v>
      </c>
      <c r="I37" s="243">
        <v>997.72522453291219</v>
      </c>
      <c r="J37" s="243">
        <v>822.80894886471913</v>
      </c>
      <c r="K37" s="243">
        <v>668.86179652173939</v>
      </c>
      <c r="L37" s="243">
        <v>547.61130308979295</v>
      </c>
      <c r="M37" s="243">
        <v>693.91103424153448</v>
      </c>
      <c r="N37" s="243">
        <v>564.14453513495266</v>
      </c>
      <c r="O37" s="243">
        <v>461.94099749162956</v>
      </c>
      <c r="P37" s="243">
        <v>13850.882950199823</v>
      </c>
      <c r="Q37" s="243">
        <v>11212.160665624051</v>
      </c>
      <c r="R37" s="243">
        <v>9099.8199491062769</v>
      </c>
      <c r="S37" s="243">
        <v>1569.7874887345076</v>
      </c>
      <c r="T37" s="243">
        <v>1270.8353967147664</v>
      </c>
      <c r="U37" s="243">
        <v>1031.5097453415865</v>
      </c>
      <c r="V37" s="243">
        <v>860.84594112536638</v>
      </c>
      <c r="W37" s="243">
        <v>696.96234867188036</v>
      </c>
      <c r="X37" s="243">
        <v>565.75723713861328</v>
      </c>
      <c r="Y37" s="243">
        <v>725.79990585567452</v>
      </c>
      <c r="Z37" s="243">
        <v>587.65900736632693</v>
      </c>
      <c r="AA37" s="244">
        <v>477.05661407843837</v>
      </c>
    </row>
    <row r="38" spans="3:27" x14ac:dyDescent="0.4">
      <c r="C38" s="242">
        <v>31</v>
      </c>
      <c r="D38" s="243">
        <v>13555.469416500158</v>
      </c>
      <c r="E38" s="243">
        <v>11015.619231782324</v>
      </c>
      <c r="F38" s="243">
        <v>9015.6324018716859</v>
      </c>
      <c r="G38" s="243">
        <v>1537.6224630316187</v>
      </c>
      <c r="H38" s="243">
        <v>1249.761338219487</v>
      </c>
      <c r="I38" s="243">
        <v>1023.0713947001844</v>
      </c>
      <c r="J38" s="243">
        <v>843.64728881230985</v>
      </c>
      <c r="K38" s="243">
        <v>685.83689425306636</v>
      </c>
      <c r="L38" s="243">
        <v>561.54696051389465</v>
      </c>
      <c r="M38" s="243">
        <v>711.48200031287138</v>
      </c>
      <c r="N38" s="243">
        <v>578.47271657199906</v>
      </c>
      <c r="O38" s="243">
        <v>473.70204787889378</v>
      </c>
      <c r="P38" s="243">
        <v>14198.558962161052</v>
      </c>
      <c r="Q38" s="243">
        <v>11493.784799173367</v>
      </c>
      <c r="R38" s="243">
        <v>9328.526717234874</v>
      </c>
      <c r="S38" s="243">
        <v>1609.2330680464356</v>
      </c>
      <c r="T38" s="243">
        <v>1302.8013820002639</v>
      </c>
      <c r="U38" s="243">
        <v>1057.4724616800158</v>
      </c>
      <c r="V38" s="243">
        <v>882.48924442363307</v>
      </c>
      <c r="W38" s="243">
        <v>714.50496039415395</v>
      </c>
      <c r="X38" s="243">
        <v>580.01059980205082</v>
      </c>
      <c r="Y38" s="243">
        <v>744.05188242320719</v>
      </c>
      <c r="Z38" s="243">
        <v>602.45194811416445</v>
      </c>
      <c r="AA38" s="244">
        <v>489.08153100787905</v>
      </c>
    </row>
    <row r="39" spans="3:27" x14ac:dyDescent="0.4">
      <c r="C39" s="242">
        <v>32</v>
      </c>
      <c r="D39" s="243">
        <v>13897.906663681744</v>
      </c>
      <c r="E39" s="243">
        <v>11294.263655378274</v>
      </c>
      <c r="F39" s="243">
        <v>9244.0137292938216</v>
      </c>
      <c r="G39" s="243">
        <v>1576.5479096443773</v>
      </c>
      <c r="H39" s="243">
        <v>1281.4651873574874</v>
      </c>
      <c r="I39" s="243">
        <v>1049.0669590116941</v>
      </c>
      <c r="J39" s="243">
        <v>865.02211437783512</v>
      </c>
      <c r="K39" s="243">
        <v>703.25341583099612</v>
      </c>
      <c r="L39" s="243">
        <v>575.84235774877686</v>
      </c>
      <c r="M39" s="243">
        <v>729.51485807220956</v>
      </c>
      <c r="N39" s="243">
        <v>593.16376613236525</v>
      </c>
      <c r="O39" s="243">
        <v>485.7753084020564</v>
      </c>
      <c r="P39" s="243">
        <v>14555.036226845452</v>
      </c>
      <c r="Q39" s="243">
        <v>11782.549159350574</v>
      </c>
      <c r="R39" s="243">
        <v>9563.0555609405383</v>
      </c>
      <c r="S39" s="243">
        <v>1649.6859881733167</v>
      </c>
      <c r="T39" s="243">
        <v>1335.5751070775505</v>
      </c>
      <c r="U39" s="243">
        <v>1084.1034897597626</v>
      </c>
      <c r="V39" s="243">
        <v>904.68294845565913</v>
      </c>
      <c r="W39" s="243">
        <v>732.49239587922375</v>
      </c>
      <c r="X39" s="243">
        <v>594.62980097253842</v>
      </c>
      <c r="Y39" s="243">
        <v>762.76287804711205</v>
      </c>
      <c r="Z39" s="243">
        <v>617.62372172965854</v>
      </c>
      <c r="AA39" s="244">
        <v>501.41149024566903</v>
      </c>
    </row>
    <row r="40" spans="3:27" x14ac:dyDescent="0.4">
      <c r="C40" s="242">
        <v>33</v>
      </c>
      <c r="D40" s="243">
        <v>14249.077622946061</v>
      </c>
      <c r="E40" s="243">
        <v>11580.124162220962</v>
      </c>
      <c r="F40" s="243">
        <v>9478.3280986965783</v>
      </c>
      <c r="G40" s="243">
        <v>1616.4786269939882</v>
      </c>
      <c r="H40" s="243">
        <v>1313.9851555356884</v>
      </c>
      <c r="I40" s="243">
        <v>1075.7523125962273</v>
      </c>
      <c r="J40" s="243">
        <v>886.94190049298732</v>
      </c>
      <c r="K40" s="243">
        <v>721.12409516481216</v>
      </c>
      <c r="L40" s="243">
        <v>590.51384127687072</v>
      </c>
      <c r="M40" s="243">
        <v>748.00002585083041</v>
      </c>
      <c r="N40" s="243">
        <v>608.24816065250434</v>
      </c>
      <c r="O40" s="243">
        <v>498.15675535326289</v>
      </c>
      <c r="P40" s="243">
        <v>14920.555826729938</v>
      </c>
      <c r="Q40" s="243">
        <v>12078.628708871094</v>
      </c>
      <c r="R40" s="243">
        <v>9803.5533411331307</v>
      </c>
      <c r="S40" s="243">
        <v>1691.1615881567136</v>
      </c>
      <c r="T40" s="243">
        <v>1369.1866987965705</v>
      </c>
      <c r="U40" s="243">
        <v>1111.4102016667514</v>
      </c>
      <c r="V40" s="243">
        <v>927.43933572003357</v>
      </c>
      <c r="W40" s="243">
        <v>750.93746428674478</v>
      </c>
      <c r="X40" s="243">
        <v>609.62189846160118</v>
      </c>
      <c r="Y40" s="243">
        <v>781.95257610822796</v>
      </c>
      <c r="Z40" s="243">
        <v>633.17674778289529</v>
      </c>
      <c r="AA40" s="244">
        <v>514.05996990942003</v>
      </c>
    </row>
    <row r="41" spans="3:27" x14ac:dyDescent="0.4">
      <c r="C41" s="242">
        <v>34</v>
      </c>
      <c r="D41" s="243">
        <v>14609.376745987211</v>
      </c>
      <c r="E41" s="243">
        <v>11873.296321460431</v>
      </c>
      <c r="F41" s="243">
        <v>9718.7438676673901</v>
      </c>
      <c r="G41" s="243">
        <v>1657.4416912105064</v>
      </c>
      <c r="H41" s="243">
        <v>1347.3492772995435</v>
      </c>
      <c r="I41" s="243">
        <v>1103.1291029083313</v>
      </c>
      <c r="J41" s="243">
        <v>909.43536742699951</v>
      </c>
      <c r="K41" s="243">
        <v>739.45224804667737</v>
      </c>
      <c r="L41" s="243">
        <v>605.57239694106636</v>
      </c>
      <c r="M41" s="243">
        <v>766.96946362694848</v>
      </c>
      <c r="N41" s="243">
        <v>623.71376464520688</v>
      </c>
      <c r="O41" s="243">
        <v>510.87573042204815</v>
      </c>
      <c r="P41" s="243">
        <v>15295.301341971988</v>
      </c>
      <c r="Q41" s="243">
        <v>12382.258005851529</v>
      </c>
      <c r="R41" s="243">
        <v>10050.154158093972</v>
      </c>
      <c r="S41" s="243">
        <v>1733.6918655367713</v>
      </c>
      <c r="T41" s="243">
        <v>1403.6528571391602</v>
      </c>
      <c r="U41" s="243">
        <v>1139.4168829524585</v>
      </c>
      <c r="V41" s="243">
        <v>950.77075227302146</v>
      </c>
      <c r="W41" s="243">
        <v>769.85380707046647</v>
      </c>
      <c r="X41" s="243">
        <v>624.99635572416344</v>
      </c>
      <c r="Y41" s="243">
        <v>801.62271667994196</v>
      </c>
      <c r="Z41" s="243">
        <v>649.13164860742984</v>
      </c>
      <c r="AA41" s="244">
        <v>527.02745830436254</v>
      </c>
    </row>
    <row r="42" spans="3:27" x14ac:dyDescent="0.4">
      <c r="C42" s="242">
        <v>35</v>
      </c>
      <c r="D42" s="243">
        <v>14978.811841893996</v>
      </c>
      <c r="E42" s="243">
        <v>12174.156156408713</v>
      </c>
      <c r="F42" s="243">
        <v>9965.3477474155352</v>
      </c>
      <c r="G42" s="243">
        <v>1699.4495108342594</v>
      </c>
      <c r="H42" s="243">
        <v>1381.5859056097822</v>
      </c>
      <c r="I42" s="243">
        <v>1131.2237958868805</v>
      </c>
      <c r="J42" s="243">
        <v>932.49442101766647</v>
      </c>
      <c r="K42" s="243">
        <v>758.26854975222557</v>
      </c>
      <c r="L42" s="243">
        <v>621.0201372391823</v>
      </c>
      <c r="M42" s="243">
        <v>786.43136929909008</v>
      </c>
      <c r="N42" s="243">
        <v>639.58824086613515</v>
      </c>
      <c r="O42" s="243">
        <v>523.91907179833402</v>
      </c>
      <c r="P42" s="243">
        <v>15679.603501113615</v>
      </c>
      <c r="Q42" s="243">
        <v>12693.549937489817</v>
      </c>
      <c r="R42" s="243">
        <v>10303.071613061462</v>
      </c>
      <c r="S42" s="243">
        <v>1777.3035634687051</v>
      </c>
      <c r="T42" s="243">
        <v>1438.9957304369434</v>
      </c>
      <c r="U42" s="243">
        <v>1168.1395211364404</v>
      </c>
      <c r="V42" s="243">
        <v>974.69782698458039</v>
      </c>
      <c r="W42" s="243">
        <v>789.24788534051947</v>
      </c>
      <c r="X42" s="243">
        <v>640.76682073782774</v>
      </c>
      <c r="Y42" s="243">
        <v>821.79639170704399</v>
      </c>
      <c r="Z42" s="243">
        <v>665.48748083708711</v>
      </c>
      <c r="AA42" s="244">
        <v>540.33192494751518</v>
      </c>
    </row>
    <row r="43" spans="3:27" x14ac:dyDescent="0.4">
      <c r="C43" s="242">
        <v>36</v>
      </c>
      <c r="D43" s="243">
        <v>15357.893596860438</v>
      </c>
      <c r="E43" s="243">
        <v>12482.677282199707</v>
      </c>
      <c r="F43" s="243">
        <v>10218.470418739647</v>
      </c>
      <c r="G43" s="243">
        <v>1742.5599046010841</v>
      </c>
      <c r="H43" s="243">
        <v>1416.6987753159578</v>
      </c>
      <c r="I43" s="243">
        <v>1160.060976755625</v>
      </c>
      <c r="J43" s="243">
        <v>956.16455278490196</v>
      </c>
      <c r="K43" s="243">
        <v>777.56166505047452</v>
      </c>
      <c r="L43" s="243">
        <v>636.88636322566128</v>
      </c>
      <c r="M43" s="243"/>
      <c r="N43" s="243">
        <v>655.87174716097752</v>
      </c>
      <c r="O43" s="243">
        <v>537.31281338149847</v>
      </c>
      <c r="P43" s="243">
        <v>16073.585211064288</v>
      </c>
      <c r="Q43" s="243">
        <v>13012.829393050355</v>
      </c>
      <c r="R43" s="243">
        <v>10562.384641841189</v>
      </c>
      <c r="S43" s="243">
        <v>1822.0180757537676</v>
      </c>
      <c r="T43" s="243">
        <v>1475.2436997803306</v>
      </c>
      <c r="U43" s="243">
        <v>1197.5942968336765</v>
      </c>
      <c r="V43" s="243">
        <v>999.22468405719894</v>
      </c>
      <c r="W43" s="243">
        <v>809.14207308945674</v>
      </c>
      <c r="X43" s="243">
        <v>656.93612780506805</v>
      </c>
      <c r="Y43" s="243"/>
      <c r="Z43" s="243">
        <v>682.26278146102845</v>
      </c>
      <c r="AA43" s="244">
        <v>553.97315813568571</v>
      </c>
    </row>
    <row r="44" spans="3:27" x14ac:dyDescent="0.4">
      <c r="C44" s="242">
        <v>37</v>
      </c>
      <c r="D44" s="243">
        <v>15746.623969352499</v>
      </c>
      <c r="E44" s="243">
        <v>12799.305830268149</v>
      </c>
      <c r="F44" s="243">
        <v>10478.070276243645</v>
      </c>
      <c r="G44" s="243">
        <v>1786.7598444892092</v>
      </c>
      <c r="H44" s="243">
        <v>1452.7478813670209</v>
      </c>
      <c r="I44" s="243">
        <v>1189.6425351575047</v>
      </c>
      <c r="J44" s="243">
        <v>980.43168501892137</v>
      </c>
      <c r="K44" s="243">
        <v>797.37165528673256</v>
      </c>
      <c r="L44" s="243">
        <v>653.15843724706497</v>
      </c>
      <c r="M44" s="243"/>
      <c r="N44" s="243">
        <v>672.57595753756596</v>
      </c>
      <c r="O44" s="243">
        <v>551.05687765312962</v>
      </c>
      <c r="P44" s="243">
        <v>16477.634336374627</v>
      </c>
      <c r="Q44" s="243">
        <v>13340.167873360784</v>
      </c>
      <c r="R44" s="243">
        <v>10828.377770225381</v>
      </c>
      <c r="S44" s="243">
        <v>1867.877230124149</v>
      </c>
      <c r="T44" s="243">
        <v>1512.4077642190782</v>
      </c>
      <c r="U44" s="243">
        <v>1227.8089410403406</v>
      </c>
      <c r="V44" s="243">
        <v>1024.3829421292439</v>
      </c>
      <c r="W44" s="243">
        <v>829.53666075810077</v>
      </c>
      <c r="X44" s="243">
        <v>673.52693849856109</v>
      </c>
      <c r="Y44" s="243"/>
      <c r="Z44" s="243">
        <v>699.46348051741586</v>
      </c>
      <c r="AA44" s="244">
        <v>567.96579569383755</v>
      </c>
    </row>
    <row r="45" spans="3:27" x14ac:dyDescent="0.4">
      <c r="C45" s="242">
        <v>38</v>
      </c>
      <c r="D45" s="243">
        <v>16145.407570292185</v>
      </c>
      <c r="E45" s="243">
        <v>13124.055531352462</v>
      </c>
      <c r="F45" s="243">
        <v>10744.571185856335</v>
      </c>
      <c r="G45" s="243">
        <v>1832.1267665345122</v>
      </c>
      <c r="H45" s="243">
        <v>1489.7147054382106</v>
      </c>
      <c r="I45" s="243">
        <v>1220.0251839267853</v>
      </c>
      <c r="J45" s="243">
        <v>1005.3309271507796</v>
      </c>
      <c r="K45" s="243">
        <v>817.68917676232741</v>
      </c>
      <c r="L45" s="243">
        <v>669.87437741321025</v>
      </c>
      <c r="M45" s="243"/>
      <c r="N45" s="243">
        <v>689.72195666095422</v>
      </c>
      <c r="O45" s="243">
        <v>565.16046339349634</v>
      </c>
      <c r="P45" s="243">
        <v>16891.882839048889</v>
      </c>
      <c r="Q45" s="243">
        <v>13675.880977109677</v>
      </c>
      <c r="R45" s="243">
        <v>11101.108247600338</v>
      </c>
      <c r="S45" s="243">
        <v>1914.8898442629027</v>
      </c>
      <c r="T45" s="243">
        <v>1550.5318362868377</v>
      </c>
      <c r="U45" s="243">
        <v>1258.7883591967866</v>
      </c>
      <c r="V45" s="243">
        <v>1050.1713589999313</v>
      </c>
      <c r="W45" s="243">
        <v>850.4576901500451</v>
      </c>
      <c r="X45" s="243">
        <v>690.53688919115962</v>
      </c>
      <c r="Y45" s="243"/>
      <c r="Z45" s="243">
        <v>717.10084318863039</v>
      </c>
      <c r="AA45" s="244">
        <v>582.31690295995861</v>
      </c>
    </row>
    <row r="46" spans="3:27" x14ac:dyDescent="0.4">
      <c r="C46" s="242">
        <v>39</v>
      </c>
      <c r="D46" s="243">
        <v>16554.464077835812</v>
      </c>
      <c r="E46" s="243">
        <v>13457.24912708931</v>
      </c>
      <c r="F46" s="243">
        <v>11017.94831671584</v>
      </c>
      <c r="G46" s="243">
        <v>1878.6481831148058</v>
      </c>
      <c r="H46" s="243">
        <v>1527.6672712175634</v>
      </c>
      <c r="I46" s="243">
        <v>1251.1881557790725</v>
      </c>
      <c r="J46" s="243">
        <v>1030.8709130767188</v>
      </c>
      <c r="K46" s="243">
        <v>838.54010505550411</v>
      </c>
      <c r="L46" s="243">
        <v>687.02457652986766</v>
      </c>
      <c r="M46" s="243"/>
      <c r="N46" s="243">
        <v>707.33507888207532</v>
      </c>
      <c r="O46" s="243">
        <v>579.64533762630219</v>
      </c>
      <c r="P46" s="243">
        <v>17316.672851985379</v>
      </c>
      <c r="Q46" s="243">
        <v>14020.115556243896</v>
      </c>
      <c r="R46" s="243">
        <v>11380.836104639633</v>
      </c>
      <c r="S46" s="243">
        <v>1963.1115423901781</v>
      </c>
      <c r="T46" s="243">
        <v>1589.6179218841316</v>
      </c>
      <c r="U46" s="243">
        <v>1290.5753922280778</v>
      </c>
      <c r="V46" s="243">
        <v>1076.61861100855</v>
      </c>
      <c r="W46" s="243">
        <v>871.90766444063956</v>
      </c>
      <c r="X46" s="243">
        <v>707.98835113543032</v>
      </c>
      <c r="Y46" s="243"/>
      <c r="Z46" s="243">
        <v>735.1904803305714</v>
      </c>
      <c r="AA46" s="244">
        <v>597.03329128068663</v>
      </c>
    </row>
    <row r="47" spans="3:27" x14ac:dyDescent="0.4">
      <c r="C47" s="242">
        <v>40</v>
      </c>
      <c r="D47" s="243">
        <v>16973.971344348425</v>
      </c>
      <c r="E47" s="243">
        <v>13799.12199232173</v>
      </c>
      <c r="F47" s="243">
        <v>11298.510151167131</v>
      </c>
      <c r="G47" s="243">
        <v>1926.3801113635768</v>
      </c>
      <c r="H47" s="243">
        <v>1566.6000130516311</v>
      </c>
      <c r="I47" s="243">
        <v>1283.1961613866658</v>
      </c>
      <c r="J47" s="243">
        <v>1057.0608097854065</v>
      </c>
      <c r="K47" s="243">
        <v>859.93963766843365</v>
      </c>
      <c r="L47" s="243">
        <v>704.63172410526067</v>
      </c>
      <c r="M47" s="243"/>
      <c r="N47" s="243">
        <v>725.41566428431008</v>
      </c>
      <c r="O47" s="243">
        <v>594.49581016971922</v>
      </c>
      <c r="P47" s="243">
        <v>17752.246615413009</v>
      </c>
      <c r="Q47" s="243">
        <v>14373.113918121357</v>
      </c>
      <c r="R47" s="243">
        <v>11667.701654217586</v>
      </c>
      <c r="S47" s="243">
        <v>2012.5477473833707</v>
      </c>
      <c r="T47" s="243">
        <v>1629.7113263707431</v>
      </c>
      <c r="U47" s="243">
        <v>1323.1680451956686</v>
      </c>
      <c r="V47" s="243">
        <v>1103.7197004014758</v>
      </c>
      <c r="W47" s="243">
        <v>893.90637990926678</v>
      </c>
      <c r="X47" s="243">
        <v>725.88525285746312</v>
      </c>
      <c r="Y47" s="243"/>
      <c r="Z47" s="243">
        <v>753.7515208228848</v>
      </c>
      <c r="AA47" s="244">
        <v>612.13223047625308</v>
      </c>
    </row>
    <row r="48" spans="3:27" x14ac:dyDescent="0.4">
      <c r="C48" s="242">
        <v>41</v>
      </c>
      <c r="D48" s="243">
        <v>17404.449217975318</v>
      </c>
      <c r="E48" s="243">
        <v>14149.764554295067</v>
      </c>
      <c r="F48" s="243">
        <v>11586.454545646282</v>
      </c>
      <c r="G48" s="243">
        <v>1975.3512566002426</v>
      </c>
      <c r="H48" s="243">
        <v>1606.5536603878882</v>
      </c>
      <c r="I48" s="243">
        <v>1316.041905206579</v>
      </c>
      <c r="J48" s="243"/>
      <c r="K48" s="243">
        <v>881.88557828285377</v>
      </c>
      <c r="L48" s="243">
        <v>722.71194559272988</v>
      </c>
      <c r="M48" s="243"/>
      <c r="N48" s="243"/>
      <c r="O48" s="243">
        <v>609.76303696899004</v>
      </c>
      <c r="P48" s="243">
        <v>18198.842868003034</v>
      </c>
      <c r="Q48" s="243">
        <v>14735.135211582443</v>
      </c>
      <c r="R48" s="243">
        <v>11961.886328272649</v>
      </c>
      <c r="S48" s="243">
        <v>2063.2467144577795</v>
      </c>
      <c r="T48" s="243">
        <v>1670.823264178792</v>
      </c>
      <c r="U48" s="243">
        <v>1356.6047059500686</v>
      </c>
      <c r="V48" s="243"/>
      <c r="W48" s="243">
        <v>916.46752749337702</v>
      </c>
      <c r="X48" s="243">
        <v>744.24178026445111</v>
      </c>
      <c r="Y48" s="243"/>
      <c r="Z48" s="243"/>
      <c r="AA48" s="244">
        <v>627.60978876369984</v>
      </c>
    </row>
    <row r="49" spans="3:27" x14ac:dyDescent="0.4">
      <c r="C49" s="242">
        <v>42</v>
      </c>
      <c r="D49" s="243">
        <v>17845.795612063132</v>
      </c>
      <c r="E49" s="243">
        <v>14509.719437323078</v>
      </c>
      <c r="F49" s="243">
        <v>11881.853855640185</v>
      </c>
      <c r="G49" s="243">
        <v>2025.5725213082103</v>
      </c>
      <c r="H49" s="243">
        <v>1647.5664804164221</v>
      </c>
      <c r="I49" s="243">
        <v>1349.7614214793457</v>
      </c>
      <c r="J49" s="243"/>
      <c r="K49" s="243">
        <v>904.42760378833486</v>
      </c>
      <c r="L49" s="243">
        <v>741.25839216182146</v>
      </c>
      <c r="M49" s="243"/>
      <c r="N49" s="243"/>
      <c r="O49" s="243">
        <v>625.4416209033044</v>
      </c>
      <c r="P49" s="243">
        <v>18656.851475995572</v>
      </c>
      <c r="Q49" s="243">
        <v>15106.314945938679</v>
      </c>
      <c r="R49" s="243">
        <v>12263.644907070546</v>
      </c>
      <c r="S49" s="243">
        <v>2115.2325954636726</v>
      </c>
      <c r="T49" s="243">
        <v>1712.9864433994514</v>
      </c>
      <c r="U49" s="243">
        <v>1390.8983911274295</v>
      </c>
      <c r="V49" s="243"/>
      <c r="W49" s="243">
        <v>939.59887478728535</v>
      </c>
      <c r="X49" s="243">
        <v>763.07375296971236</v>
      </c>
      <c r="Y49" s="243"/>
      <c r="Z49" s="243"/>
      <c r="AA49" s="244">
        <v>643.49580270527417</v>
      </c>
    </row>
    <row r="50" spans="3:27" x14ac:dyDescent="0.4">
      <c r="C50" s="242">
        <v>43</v>
      </c>
      <c r="D50" s="243">
        <v>18298.824615126727</v>
      </c>
      <c r="E50" s="243">
        <v>14878.827651312347</v>
      </c>
      <c r="F50" s="243">
        <v>12185.216395647944</v>
      </c>
      <c r="G50" s="243">
        <v>2077.1301520129036</v>
      </c>
      <c r="H50" s="243">
        <v>1689.6306986107591</v>
      </c>
      <c r="I50" s="243">
        <v>1384.3929575126883</v>
      </c>
      <c r="J50" s="243"/>
      <c r="K50" s="243">
        <v>927.53443814972024</v>
      </c>
      <c r="L50" s="243">
        <v>760.32313048487174</v>
      </c>
      <c r="M50" s="243"/>
      <c r="N50" s="243"/>
      <c r="O50" s="243">
        <v>641.54441843796633</v>
      </c>
      <c r="P50" s="243">
        <v>19126.373975269573</v>
      </c>
      <c r="Q50" s="243">
        <v>15487.064546662326</v>
      </c>
      <c r="R50" s="243">
        <v>12573.048388486601</v>
      </c>
      <c r="S50" s="243">
        <v>2168.534760794666</v>
      </c>
      <c r="T50" s="243">
        <v>1756.2322649964874</v>
      </c>
      <c r="U50" s="243">
        <v>1426.0720475677288</v>
      </c>
      <c r="V50" s="243"/>
      <c r="W50" s="243">
        <v>963.32972344248424</v>
      </c>
      <c r="X50" s="243">
        <v>782.3824167930926</v>
      </c>
      <c r="Y50" s="243"/>
      <c r="Z50" s="243"/>
      <c r="AA50" s="244">
        <v>659.79369750164324</v>
      </c>
    </row>
    <row r="51" spans="3:27" x14ac:dyDescent="0.4">
      <c r="C51" s="242">
        <v>44</v>
      </c>
      <c r="D51" s="243">
        <v>18763.332535335037</v>
      </c>
      <c r="E51" s="243">
        <v>15257.809479052796</v>
      </c>
      <c r="F51" s="243">
        <v>12496.360871234043</v>
      </c>
      <c r="G51" s="243">
        <v>2129.9709944329684</v>
      </c>
      <c r="H51" s="243">
        <v>1732.845961231927</v>
      </c>
      <c r="I51" s="243">
        <v>1419.9218012258468</v>
      </c>
      <c r="J51" s="243"/>
      <c r="K51" s="243">
        <v>951.27100378319619</v>
      </c>
      <c r="L51" s="243">
        <v>779.87229924156236</v>
      </c>
      <c r="M51" s="243"/>
      <c r="N51" s="243"/>
      <c r="O51" s="243">
        <v>658.09979139927373</v>
      </c>
      <c r="P51" s="243">
        <v>19607.986385216853</v>
      </c>
      <c r="Q51" s="243">
        <v>15877.417425931864</v>
      </c>
      <c r="R51" s="243">
        <v>12890.506614394648</v>
      </c>
      <c r="S51" s="243">
        <v>2223.1574048882853</v>
      </c>
      <c r="T51" s="243">
        <v>1800.5724383096269</v>
      </c>
      <c r="U51" s="243">
        <v>1462.1599059310727</v>
      </c>
      <c r="V51" s="243"/>
      <c r="W51" s="243">
        <v>987.65320624013202</v>
      </c>
      <c r="X51" s="243">
        <v>802.20008205469935</v>
      </c>
      <c r="Y51" s="243"/>
      <c r="Z51" s="243"/>
      <c r="AA51" s="244">
        <v>676.51542236188106</v>
      </c>
    </row>
    <row r="52" spans="3:27" x14ac:dyDescent="0.4">
      <c r="C52" s="242">
        <v>45</v>
      </c>
      <c r="D52" s="243">
        <v>19239.965451038919</v>
      </c>
      <c r="E52" s="243">
        <v>15646.530949340213</v>
      </c>
      <c r="F52" s="243">
        <v>12815.975344388624</v>
      </c>
      <c r="G52" s="243">
        <v>2184.0972280171477</v>
      </c>
      <c r="H52" s="243">
        <v>1777.160462874923</v>
      </c>
      <c r="I52" s="243">
        <v>1456.4499771816309</v>
      </c>
      <c r="J52" s="243"/>
      <c r="K52" s="243">
        <v>975.61114800686391</v>
      </c>
      <c r="L52" s="243">
        <v>799.96365049149074</v>
      </c>
      <c r="M52" s="243"/>
      <c r="N52" s="243"/>
      <c r="O52" s="243">
        <v>675.11155592606156</v>
      </c>
      <c r="P52" s="243">
        <v>20101.704737529344</v>
      </c>
      <c r="Q52" s="243">
        <v>16277.844603177031</v>
      </c>
      <c r="R52" s="243">
        <v>13216.00326105641</v>
      </c>
      <c r="S52" s="243">
        <v>2279.1289619603881</v>
      </c>
      <c r="T52" s="243">
        <v>1846.0661857925993</v>
      </c>
      <c r="U52" s="243">
        <v>1499.1624050029036</v>
      </c>
      <c r="V52" s="243"/>
      <c r="W52" s="243">
        <v>1012.6122481831009</v>
      </c>
      <c r="X52" s="243">
        <v>822.51579350846134</v>
      </c>
      <c r="Y52" s="243"/>
      <c r="Z52" s="243"/>
      <c r="AA52" s="244">
        <v>693.67943777293453</v>
      </c>
    </row>
    <row r="53" spans="3:27" x14ac:dyDescent="0.4">
      <c r="C53" s="242">
        <v>46</v>
      </c>
      <c r="D53" s="243">
        <v>19728.914293984264</v>
      </c>
      <c r="E53" s="243">
        <v>16045.484055030121</v>
      </c>
      <c r="F53" s="243">
        <v>13143.906597335952</v>
      </c>
      <c r="G53" s="243">
        <v>2239.5304160342325</v>
      </c>
      <c r="H53" s="243">
        <v>1822.6841450430438</v>
      </c>
      <c r="I53" s="243">
        <v>1493.9209907679349</v>
      </c>
      <c r="J53" s="243"/>
      <c r="K53" s="243"/>
      <c r="L53" s="243">
        <v>820.57915361553091</v>
      </c>
      <c r="M53" s="243"/>
      <c r="N53" s="243"/>
      <c r="O53" s="243"/>
      <c r="P53" s="243">
        <v>20608.052110318717</v>
      </c>
      <c r="Q53" s="243">
        <v>16688.421725493045</v>
      </c>
      <c r="R53" s="243">
        <v>13549.943835876658</v>
      </c>
      <c r="S53" s="243">
        <v>2336.4780072062676</v>
      </c>
      <c r="T53" s="243">
        <v>1892.7034282447746</v>
      </c>
      <c r="U53" s="243">
        <v>1537.1430638063237</v>
      </c>
      <c r="V53" s="243"/>
      <c r="W53" s="243"/>
      <c r="X53" s="243">
        <v>843.36614937264551</v>
      </c>
      <c r="Y53" s="243"/>
      <c r="Z53" s="243"/>
      <c r="AA53" s="244"/>
    </row>
    <row r="54" spans="3:27" x14ac:dyDescent="0.4">
      <c r="C54" s="242">
        <v>47</v>
      </c>
      <c r="D54" s="243">
        <v>20230.39073418573</v>
      </c>
      <c r="E54" s="243">
        <v>16454.955525527595</v>
      </c>
      <c r="F54" s="243">
        <v>13480.601042671342</v>
      </c>
      <c r="G54" s="243">
        <v>2296.2909063085594</v>
      </c>
      <c r="H54" s="243">
        <v>1869.3930909345845</v>
      </c>
      <c r="I54" s="243">
        <v>1532.4340379470884</v>
      </c>
      <c r="J54" s="243"/>
      <c r="K54" s="243"/>
      <c r="L54" s="243">
        <v>841.74034449492206</v>
      </c>
      <c r="M54" s="243"/>
      <c r="N54" s="243"/>
      <c r="O54" s="243"/>
      <c r="P54" s="243">
        <v>21127.224343886344</v>
      </c>
      <c r="Q54" s="243">
        <v>17109.514696219088</v>
      </c>
      <c r="R54" s="243">
        <v>13892.421065296356</v>
      </c>
      <c r="S54" s="243">
        <v>2395.2331020034126</v>
      </c>
      <c r="T54" s="243">
        <v>1940.5575990332043</v>
      </c>
      <c r="U54" s="243">
        <v>1576.0844610913198</v>
      </c>
      <c r="V54" s="243"/>
      <c r="W54" s="243"/>
      <c r="X54" s="243">
        <v>864.74612192134907</v>
      </c>
      <c r="Y54" s="243"/>
      <c r="Z54" s="243"/>
      <c r="AA54" s="244"/>
    </row>
    <row r="55" spans="3:27" x14ac:dyDescent="0.4">
      <c r="C55" s="242">
        <v>48</v>
      </c>
      <c r="D55" s="243">
        <v>20745.143265129507</v>
      </c>
      <c r="E55" s="243">
        <v>16874.972287597753</v>
      </c>
      <c r="F55" s="243">
        <v>13826.345400214621</v>
      </c>
      <c r="G55" s="243">
        <v>2354.3975617396754</v>
      </c>
      <c r="H55" s="243">
        <v>1917.3380270859348</v>
      </c>
      <c r="I55" s="243">
        <v>1571.9752650390726</v>
      </c>
      <c r="J55" s="243"/>
      <c r="K55" s="243"/>
      <c r="L55" s="243">
        <v>863.47983539233564</v>
      </c>
      <c r="M55" s="243"/>
      <c r="N55" s="243"/>
      <c r="O55" s="243"/>
      <c r="P55" s="243">
        <v>21659.558988319073</v>
      </c>
      <c r="Q55" s="243">
        <v>17541.389887343255</v>
      </c>
      <c r="R55" s="243">
        <v>14243.701375480776</v>
      </c>
      <c r="S55" s="243">
        <v>2455.4227251828552</v>
      </c>
      <c r="T55" s="243">
        <v>1989.6223729702674</v>
      </c>
      <c r="U55" s="243">
        <v>1616.0489625919843</v>
      </c>
      <c r="V55" s="243"/>
      <c r="W55" s="243"/>
      <c r="X55" s="243">
        <v>886.67793434956491</v>
      </c>
      <c r="Y55" s="243"/>
      <c r="Z55" s="243"/>
      <c r="AA55" s="244"/>
    </row>
    <row r="56" spans="3:27" x14ac:dyDescent="0.4">
      <c r="C56" s="242">
        <v>49</v>
      </c>
      <c r="D56" s="243">
        <v>21272.766772019622</v>
      </c>
      <c r="E56" s="243">
        <v>17306.41611262058</v>
      </c>
      <c r="F56" s="243">
        <v>14181.098342710004</v>
      </c>
      <c r="G56" s="243">
        <v>2413.8672225654718</v>
      </c>
      <c r="H56" s="243">
        <v>1966.5807423992021</v>
      </c>
      <c r="I56" s="243">
        <v>1612.5757642423421</v>
      </c>
      <c r="J56" s="243"/>
      <c r="K56" s="243"/>
      <c r="L56" s="243">
        <v>885.75943754175626</v>
      </c>
      <c r="M56" s="243"/>
      <c r="N56" s="243"/>
      <c r="O56" s="243"/>
      <c r="P56" s="243">
        <v>22205.072640442886</v>
      </c>
      <c r="Q56" s="243">
        <v>17984.210577786715</v>
      </c>
      <c r="R56" s="243">
        <v>14604.081433019282</v>
      </c>
      <c r="S56" s="243">
        <v>2517.0753123141067</v>
      </c>
      <c r="T56" s="243">
        <v>2039.9508177213158</v>
      </c>
      <c r="U56" s="243">
        <v>1657.0393717067013</v>
      </c>
      <c r="V56" s="243"/>
      <c r="W56" s="243"/>
      <c r="X56" s="243">
        <v>909.17880367193516</v>
      </c>
      <c r="Y56" s="243"/>
      <c r="Z56" s="243"/>
      <c r="AA56" s="244"/>
    </row>
    <row r="57" spans="3:27" x14ac:dyDescent="0.4">
      <c r="C57" s="242">
        <v>50</v>
      </c>
      <c r="D57" s="243">
        <v>21813.222339276163</v>
      </c>
      <c r="E57" s="243">
        <v>17748.820819139037</v>
      </c>
      <c r="F57" s="243">
        <v>14545.762867981364</v>
      </c>
      <c r="G57" s="243">
        <v>2474.7142590275071</v>
      </c>
      <c r="H57" s="243">
        <v>2017.0710977517699</v>
      </c>
      <c r="I57" s="243">
        <v>1654.3125644109643</v>
      </c>
      <c r="J57" s="243"/>
      <c r="K57" s="243"/>
      <c r="L57" s="243">
        <v>908.6804304972693</v>
      </c>
      <c r="M57" s="243"/>
      <c r="N57" s="243"/>
      <c r="O57" s="243"/>
      <c r="P57" s="243">
        <v>22764.046384815578</v>
      </c>
      <c r="Q57" s="243">
        <v>18438.513118651375</v>
      </c>
      <c r="R57" s="243">
        <v>14973.611512231859</v>
      </c>
      <c r="S57" s="243">
        <v>2580.218976064938</v>
      </c>
      <c r="T57" s="243">
        <v>2091.5154697356797</v>
      </c>
      <c r="U57" s="243">
        <v>1699.0902447897929</v>
      </c>
      <c r="V57" s="243"/>
      <c r="W57" s="243"/>
      <c r="X57" s="243">
        <v>932.24526702766423</v>
      </c>
      <c r="Y57" s="243"/>
      <c r="Z57" s="243"/>
      <c r="AA57" s="244"/>
    </row>
    <row r="58" spans="3:27" x14ac:dyDescent="0.4">
      <c r="C58" s="242">
        <v>51</v>
      </c>
      <c r="D58" s="243">
        <v>22366.7279894969</v>
      </c>
      <c r="E58" s="243">
        <v>18203.368591987823</v>
      </c>
      <c r="F58" s="243">
        <v>14919.829092651345</v>
      </c>
      <c r="G58" s="243"/>
      <c r="H58" s="243">
        <v>2068.7614910510779</v>
      </c>
      <c r="I58" s="243">
        <v>1697.1166536462883</v>
      </c>
      <c r="J58" s="243"/>
      <c r="K58" s="243"/>
      <c r="L58" s="243"/>
      <c r="M58" s="243"/>
      <c r="N58" s="243"/>
      <c r="O58" s="243"/>
      <c r="P58" s="243">
        <v>23336.763386691415</v>
      </c>
      <c r="Q58" s="243">
        <v>18904.218769452284</v>
      </c>
      <c r="R58" s="243">
        <v>15352.871747654872</v>
      </c>
      <c r="S58" s="243"/>
      <c r="T58" s="243">
        <v>2144.3403678525779</v>
      </c>
      <c r="U58" s="243">
        <v>1742.2443181510921</v>
      </c>
      <c r="V58" s="243"/>
      <c r="W58" s="243"/>
      <c r="X58" s="243"/>
      <c r="Y58" s="243"/>
      <c r="Z58" s="243"/>
      <c r="AA58" s="244"/>
    </row>
    <row r="59" spans="3:27" x14ac:dyDescent="0.4">
      <c r="C59" s="242">
        <v>52</v>
      </c>
      <c r="D59" s="243">
        <v>22933.484538895456</v>
      </c>
      <c r="E59" s="243">
        <v>18669.660617225611</v>
      </c>
      <c r="F59" s="243">
        <v>15304.367228930196</v>
      </c>
      <c r="G59" s="243"/>
      <c r="H59" s="243">
        <v>2121.6616876314952</v>
      </c>
      <c r="I59" s="243">
        <v>1741.1691700555994</v>
      </c>
      <c r="J59" s="243"/>
      <c r="K59" s="243"/>
      <c r="L59" s="243"/>
      <c r="M59" s="243"/>
      <c r="N59" s="243"/>
      <c r="O59" s="243"/>
      <c r="P59" s="243">
        <v>23923.510633412709</v>
      </c>
      <c r="Q59" s="243">
        <v>19382.099713036092</v>
      </c>
      <c r="R59" s="243">
        <v>15741.713009966068</v>
      </c>
      <c r="S59" s="243"/>
      <c r="T59" s="243">
        <v>2198.449085180247</v>
      </c>
      <c r="U59" s="243">
        <v>1786.4918641023135</v>
      </c>
      <c r="V59" s="243"/>
      <c r="W59" s="243"/>
      <c r="X59" s="243"/>
      <c r="Y59" s="243"/>
      <c r="Z59" s="243"/>
      <c r="AA59" s="244"/>
    </row>
    <row r="60" spans="3:27" x14ac:dyDescent="0.4">
      <c r="C60" s="242">
        <v>53</v>
      </c>
      <c r="D60" s="243">
        <v>23513.678437751063</v>
      </c>
      <c r="E60" s="243">
        <v>19148.373574001522</v>
      </c>
      <c r="F60" s="243">
        <v>15699.080547145502</v>
      </c>
      <c r="G60" s="243"/>
      <c r="H60" s="243">
        <v>2175.7782490411828</v>
      </c>
      <c r="I60" s="243">
        <v>1786.3497457218959</v>
      </c>
      <c r="J60" s="243"/>
      <c r="K60" s="243"/>
      <c r="L60" s="243"/>
      <c r="M60" s="243"/>
      <c r="N60" s="243"/>
      <c r="O60" s="243"/>
      <c r="P60" s="243">
        <v>24524.576586212457</v>
      </c>
      <c r="Q60" s="243">
        <v>19872.023833430667</v>
      </c>
      <c r="R60" s="243">
        <v>16140.798112369766</v>
      </c>
      <c r="S60" s="243"/>
      <c r="T60" s="243">
        <v>2253.8644335673407</v>
      </c>
      <c r="U60" s="243">
        <v>1831.9317609268815</v>
      </c>
      <c r="V60" s="243"/>
      <c r="W60" s="243"/>
      <c r="X60" s="243"/>
      <c r="Y60" s="243"/>
      <c r="Z60" s="243"/>
      <c r="AA60" s="244"/>
    </row>
    <row r="61" spans="3:27" x14ac:dyDescent="0.4">
      <c r="C61" s="242">
        <v>54</v>
      </c>
      <c r="D61" s="243">
        <v>24107.470766938117</v>
      </c>
      <c r="E61" s="243">
        <v>19639.929062898977</v>
      </c>
      <c r="F61" s="243">
        <v>16104.444898312508</v>
      </c>
      <c r="G61" s="243"/>
      <c r="H61" s="243">
        <v>2231.1138586513234</v>
      </c>
      <c r="I61" s="243">
        <v>1832.7746027555775</v>
      </c>
      <c r="J61" s="243"/>
      <c r="K61" s="243"/>
      <c r="L61" s="243"/>
      <c r="M61" s="243"/>
      <c r="N61" s="243"/>
      <c r="O61" s="243"/>
      <c r="P61" s="243">
        <v>25140.248944337207</v>
      </c>
      <c r="Q61" s="243">
        <v>20374.602597723631</v>
      </c>
      <c r="R61" s="243">
        <v>16550.08533662773</v>
      </c>
      <c r="S61" s="243"/>
      <c r="T61" s="243">
        <v>2310.6081426586843</v>
      </c>
      <c r="U61" s="243">
        <v>1878.5146841417663</v>
      </c>
      <c r="V61" s="243"/>
      <c r="W61" s="243"/>
      <c r="X61" s="243"/>
      <c r="Y61" s="243"/>
      <c r="Z61" s="243"/>
      <c r="AA61" s="244"/>
    </row>
    <row r="62" spans="3:27" x14ac:dyDescent="0.4">
      <c r="C62" s="242">
        <v>55</v>
      </c>
      <c r="D62" s="243">
        <v>24714.996052841088</v>
      </c>
      <c r="E62" s="243">
        <v>20144.024546083841</v>
      </c>
      <c r="F62" s="243">
        <v>16521.035850075306</v>
      </c>
      <c r="G62" s="243"/>
      <c r="H62" s="243">
        <v>2287.667079822033</v>
      </c>
      <c r="I62" s="243">
        <v>1880.4531057278732</v>
      </c>
      <c r="J62" s="243"/>
      <c r="K62" s="243"/>
      <c r="L62" s="243"/>
      <c r="M62" s="243"/>
      <c r="N62" s="243"/>
      <c r="O62" s="243"/>
      <c r="P62" s="243">
        <v>25770.815358389838</v>
      </c>
      <c r="Q62" s="243">
        <v>20889.529065622766</v>
      </c>
      <c r="R62" s="243">
        <v>16970.002851249224</v>
      </c>
      <c r="S62" s="243"/>
      <c r="T62" s="243">
        <v>2368.7005693526708</v>
      </c>
      <c r="U62" s="243">
        <v>1926.3457888429114</v>
      </c>
      <c r="V62" s="243"/>
      <c r="W62" s="243"/>
      <c r="X62" s="243"/>
      <c r="Y62" s="243"/>
      <c r="Z62" s="243"/>
      <c r="AA62" s="244"/>
    </row>
    <row r="63" spans="3:27" x14ac:dyDescent="0.4">
      <c r="C63" s="242">
        <v>56</v>
      </c>
      <c r="D63" s="243">
        <v>25336.359225127904</v>
      </c>
      <c r="E63" s="243">
        <v>20660.076494511322</v>
      </c>
      <c r="F63" s="243">
        <v>16948.295303858809</v>
      </c>
      <c r="G63" s="243"/>
      <c r="H63" s="243"/>
      <c r="I63" s="243">
        <v>1929.3446046659685</v>
      </c>
      <c r="J63" s="243"/>
      <c r="K63" s="243"/>
      <c r="L63" s="243"/>
      <c r="M63" s="243"/>
      <c r="N63" s="243"/>
      <c r="O63" s="243"/>
      <c r="P63" s="243">
        <v>26416.555436772531</v>
      </c>
      <c r="Q63" s="243">
        <v>21417.045404165983</v>
      </c>
      <c r="R63" s="243">
        <v>17400.892249813289</v>
      </c>
      <c r="S63" s="243"/>
      <c r="T63" s="243"/>
      <c r="U63" s="243">
        <v>1975.3336173824632</v>
      </c>
      <c r="V63" s="243"/>
      <c r="W63" s="243"/>
      <c r="X63" s="243"/>
      <c r="Y63" s="243"/>
      <c r="Z63" s="243"/>
      <c r="AA63" s="244"/>
    </row>
    <row r="64" spans="3:27" x14ac:dyDescent="0.4">
      <c r="C64" s="242">
        <v>57</v>
      </c>
      <c r="D64" s="243">
        <v>25971.62749157082</v>
      </c>
      <c r="E64" s="243">
        <v>21188.17353593199</v>
      </c>
      <c r="F64" s="243">
        <v>17387.997135367201</v>
      </c>
      <c r="G64" s="243"/>
      <c r="H64" s="243"/>
      <c r="I64" s="243">
        <v>1979.3261544416061</v>
      </c>
      <c r="J64" s="243"/>
      <c r="K64" s="243"/>
      <c r="L64" s="243"/>
      <c r="M64" s="243"/>
      <c r="N64" s="243"/>
      <c r="O64" s="243"/>
      <c r="P64" s="243">
        <v>27077.740765761053</v>
      </c>
      <c r="Q64" s="243">
        <v>21957.387940112741</v>
      </c>
      <c r="R64" s="243">
        <v>17842.751794313761</v>
      </c>
      <c r="S64" s="243"/>
      <c r="T64" s="243"/>
      <c r="U64" s="243">
        <v>2025.493879759737</v>
      </c>
      <c r="V64" s="243"/>
      <c r="W64" s="243"/>
      <c r="X64" s="243"/>
      <c r="Y64" s="243"/>
      <c r="Z64" s="243"/>
      <c r="AA64" s="244"/>
    </row>
    <row r="65" spans="3:27" x14ac:dyDescent="0.4">
      <c r="C65" s="242">
        <v>58</v>
      </c>
      <c r="D65" s="243">
        <v>26620.827707712771</v>
      </c>
      <c r="E65" s="243">
        <v>21728.371765755342</v>
      </c>
      <c r="F65" s="243">
        <v>17838.836943078139</v>
      </c>
      <c r="G65" s="243"/>
      <c r="H65" s="243"/>
      <c r="I65" s="243">
        <v>2030.3888688923128</v>
      </c>
      <c r="J65" s="243"/>
      <c r="K65" s="243"/>
      <c r="L65" s="243"/>
      <c r="M65" s="243"/>
      <c r="N65" s="243"/>
      <c r="O65" s="243"/>
      <c r="P65" s="243">
        <v>27754.626398845034</v>
      </c>
      <c r="Q65" s="243">
        <v>22510.780124340512</v>
      </c>
      <c r="R65" s="243">
        <v>18296.46026042341</v>
      </c>
      <c r="S65" s="243"/>
      <c r="T65" s="243"/>
      <c r="U65" s="243">
        <v>2076.8402133290861</v>
      </c>
      <c r="V65" s="243"/>
      <c r="W65" s="243"/>
      <c r="X65" s="243"/>
      <c r="Y65" s="243"/>
      <c r="Z65" s="243"/>
      <c r="AA65" s="244"/>
    </row>
    <row r="66" spans="3:27" x14ac:dyDescent="0.4">
      <c r="C66" s="242">
        <v>59</v>
      </c>
      <c r="D66" s="243">
        <v>27283.939201178753</v>
      </c>
      <c r="E66" s="243">
        <v>22280.688496632887</v>
      </c>
      <c r="F66" s="243">
        <v>18302.18626126532</v>
      </c>
      <c r="G66" s="243"/>
      <c r="H66" s="243"/>
      <c r="I66" s="243">
        <v>2082.519145179092</v>
      </c>
      <c r="J66" s="243"/>
      <c r="K66" s="243"/>
      <c r="L66" s="243"/>
      <c r="M66" s="243"/>
      <c r="N66" s="243"/>
      <c r="O66" s="243"/>
      <c r="P66" s="243">
        <v>28447.449345797544</v>
      </c>
      <c r="Q66" s="243">
        <v>23077.431420082987</v>
      </c>
      <c r="R66" s="243">
        <v>18761.56523896549</v>
      </c>
      <c r="S66" s="243"/>
      <c r="T66" s="243"/>
      <c r="U66" s="243">
        <v>2129.3838991350149</v>
      </c>
      <c r="V66" s="243"/>
      <c r="W66" s="243"/>
      <c r="X66" s="243"/>
      <c r="Y66" s="243"/>
      <c r="Z66" s="243"/>
      <c r="AA66" s="244"/>
    </row>
    <row r="67" spans="3:27" ht="16.149999999999999" thickBot="1" x14ac:dyDescent="0.45">
      <c r="C67" s="245">
        <v>60</v>
      </c>
      <c r="D67" s="246"/>
      <c r="E67" s="246">
        <v>22845.100237608935</v>
      </c>
      <c r="F67" s="246">
        <v>18777.830815061712</v>
      </c>
      <c r="G67" s="246"/>
      <c r="H67" s="246"/>
      <c r="I67" s="246">
        <v>2135.6985385789135</v>
      </c>
      <c r="J67" s="246"/>
      <c r="K67" s="246"/>
      <c r="L67" s="246"/>
      <c r="M67" s="246"/>
      <c r="N67" s="246"/>
      <c r="O67" s="246"/>
      <c r="P67" s="246"/>
      <c r="Q67" s="246">
        <v>23657.535193785523</v>
      </c>
      <c r="R67" s="246">
        <v>19239.185793914639</v>
      </c>
      <c r="S67" s="246"/>
      <c r="T67" s="246"/>
      <c r="U67" s="246">
        <v>2183.1333976605215</v>
      </c>
      <c r="V67" s="246"/>
      <c r="W67" s="246"/>
      <c r="X67" s="246"/>
      <c r="Y67" s="246"/>
      <c r="Z67" s="246"/>
      <c r="AA67" s="247"/>
    </row>
  </sheetData>
  <mergeCells count="12">
    <mergeCell ref="V5:X5"/>
    <mergeCell ref="Y5:AA5"/>
    <mergeCell ref="C3:AA3"/>
    <mergeCell ref="C4:C6"/>
    <mergeCell ref="D4:O4"/>
    <mergeCell ref="P4:AA4"/>
    <mergeCell ref="D5:F5"/>
    <mergeCell ref="G5:I5"/>
    <mergeCell ref="J5:L5"/>
    <mergeCell ref="M5:O5"/>
    <mergeCell ref="P5:R5"/>
    <mergeCell ref="S5:U5"/>
  </mergeCells>
  <phoneticPr fontId="3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11"/>
  <sheetViews>
    <sheetView tabSelected="1" zoomScale="78" zoomScaleNormal="70" workbookViewId="0">
      <selection activeCell="I54" sqref="I54"/>
    </sheetView>
  </sheetViews>
  <sheetFormatPr defaultColWidth="9" defaultRowHeight="15.75" x14ac:dyDescent="0.4"/>
  <cols>
    <col min="1" max="1" width="12.1875" style="2" customWidth="1"/>
    <col min="2" max="2" width="7.5" style="2" customWidth="1"/>
    <col min="3" max="3" width="14" style="2" customWidth="1"/>
    <col min="4" max="8" width="9" style="2"/>
    <col min="9" max="9" width="28.1875" style="2" customWidth="1"/>
    <col min="10" max="16384" width="9" style="2"/>
  </cols>
  <sheetData>
    <row r="1" spans="1:12" ht="20.25" x14ac:dyDescent="0.45">
      <c r="A1" s="260" t="str">
        <f>"中财人寿养老年金费率表（每"&amp;Face_Amt&amp;"元基本保险金额对应的趸交或年交保险费）"</f>
        <v>中财人寿养老年金费率表（每1000元基本保险金额对应的趸交或年交保险费）</v>
      </c>
      <c r="B1" s="261"/>
      <c r="C1" s="261"/>
      <c r="D1" s="261"/>
      <c r="E1" s="261"/>
      <c r="F1" s="261"/>
      <c r="G1" s="261"/>
      <c r="H1" s="261"/>
      <c r="I1" s="262"/>
    </row>
    <row r="3" spans="1:12" x14ac:dyDescent="0.4">
      <c r="A3" s="263" t="str">
        <f ca="1">"示例："&amp;Age&amp;"岁，"&amp;IF(Sex="M","男，","女，")&amp;IF(PPP=1,"趸交，",PPP&amp;"年交，")&amp;IF(B=BPP,"保障终身，","保险期间"&amp;B&amp;"年，")&amp;"养老年金开始领取年龄"&amp;Begin_Age&amp;"岁，保证领取养老金结束年龄"&amp;End_Age&amp;"岁，"&amp;"基本保险金额"&amp;Face_Amt&amp;"元，"&amp;IF(PPP=1,"一次性交纳保费","期交保费")&amp;ROUND(Gross_Premium,2)&amp;"元。"</f>
        <v>示例：20岁，男，20年交，保障终身，养老年金开始领取年龄60岁，保证领取养老金结束年龄80岁，基本保险金额1000元，期交保费637.34元。</v>
      </c>
      <c r="B3" s="263"/>
      <c r="C3" s="263"/>
      <c r="D3" s="263"/>
      <c r="E3" s="263"/>
      <c r="F3" s="263"/>
      <c r="G3" s="263"/>
      <c r="H3" s="263"/>
      <c r="I3" s="263"/>
      <c r="J3" s="263"/>
      <c r="K3" s="263"/>
      <c r="L3" s="263"/>
    </row>
    <row r="5" spans="1:12" ht="18.75" x14ac:dyDescent="0.6">
      <c r="A5" s="271" t="s">
        <v>142</v>
      </c>
      <c r="B5" s="272" t="s">
        <v>169</v>
      </c>
      <c r="C5" s="273" t="s">
        <v>170</v>
      </c>
      <c r="E5" s="264" t="s">
        <v>143</v>
      </c>
      <c r="F5" s="264"/>
    </row>
    <row r="6" spans="1:12" x14ac:dyDescent="0.4">
      <c r="A6" s="268" t="s">
        <v>75</v>
      </c>
      <c r="B6" s="269" t="s">
        <v>167</v>
      </c>
      <c r="C6" s="270" t="s">
        <v>168</v>
      </c>
    </row>
    <row r="7" spans="1:12" x14ac:dyDescent="0.4">
      <c r="A7" s="238">
        <f>IF(CV!B18&lt;Age+B,CV!B18-Age+1,"")</f>
        <v>1</v>
      </c>
      <c r="B7" s="267">
        <f>IFERROR(IF(AND(Age&gt;=0,Age&lt;=60),IF(CV!B18+1&lt;=Age+B,CV!B18+1,""),""),"")</f>
        <v>21</v>
      </c>
      <c r="C7" s="239">
        <f ca="1">IFERROR(CV!Z19,"")</f>
        <v>154.61462380364082</v>
      </c>
      <c r="D7" s="2" t="str">
        <f ca="1">IF(AND(C7=0,C6&gt;0),"→本年度年初t开始领取第一笔养老年金","")</f>
        <v/>
      </c>
    </row>
    <row r="8" spans="1:12" x14ac:dyDescent="0.4">
      <c r="A8" s="234">
        <f>IF(CV!B19&lt;Age+B,CV!B19-Age+1,"")</f>
        <v>2</v>
      </c>
      <c r="B8" s="265">
        <f>IFERROR(IF(AND(Age&gt;=0,Age&lt;=60),IF(CV!B19+1&lt;=Age+B,CV!B19+1,""),""),"")</f>
        <v>22</v>
      </c>
      <c r="C8" s="235">
        <f ca="1">IFERROR(CV!Z20,"")</f>
        <v>374.46459878331962</v>
      </c>
      <c r="D8" s="2" t="str">
        <f t="shared" ref="D8:D39" ca="1" si="0">IF(AND(C8=0,C7&gt;0),"→本年度年初t开始领取第一笔养老年金","")</f>
        <v/>
      </c>
    </row>
    <row r="9" spans="1:12" x14ac:dyDescent="0.4">
      <c r="A9" s="234">
        <f>IF(CV!B20&lt;Age+B,CV!B20-Age+1,"")</f>
        <v>3</v>
      </c>
      <c r="B9" s="265">
        <f>IFERROR(IF(AND(Age&gt;=0,Age&lt;=60),IF(CV!B20+1&lt;=Age+B,CV!B20+1,""),""),"")</f>
        <v>23</v>
      </c>
      <c r="C9" s="235">
        <f ca="1">IFERROR(CV!Z21,"")</f>
        <v>635.0516684970296</v>
      </c>
      <c r="D9" s="2" t="str">
        <f t="shared" ca="1" si="0"/>
        <v/>
      </c>
    </row>
    <row r="10" spans="1:12" x14ac:dyDescent="0.4">
      <c r="A10" s="234">
        <f>IF(CV!B21&lt;Age+B,CV!B21-Age+1,"")</f>
        <v>4</v>
      </c>
      <c r="B10" s="265">
        <f>IFERROR(IF(AND(Age&gt;=0,Age&lt;=60),IF(CV!B21+1&lt;=Age+B,CV!B21+1,""),""),"")</f>
        <v>24</v>
      </c>
      <c r="C10" s="235">
        <f ca="1">IFERROR(CV!Z22,"")</f>
        <v>924.45284982635553</v>
      </c>
      <c r="D10" s="2" t="str">
        <f t="shared" ca="1" si="0"/>
        <v/>
      </c>
    </row>
    <row r="11" spans="1:12" x14ac:dyDescent="0.4">
      <c r="A11" s="234">
        <f>IF(CV!B22&lt;Age+B,CV!B22-Age+1,"")</f>
        <v>5</v>
      </c>
      <c r="B11" s="265">
        <f>IFERROR(IF(AND(Age&gt;=0,Age&lt;=60),IF(CV!B22+1&lt;=Age+B,CV!B22+1,""),""),"")</f>
        <v>25</v>
      </c>
      <c r="C11" s="235">
        <f ca="1">IFERROR(CV!Z23,"")</f>
        <v>1229.9024661266542</v>
      </c>
      <c r="D11" s="2" t="str">
        <f t="shared" ca="1" si="0"/>
        <v/>
      </c>
    </row>
    <row r="12" spans="1:12" x14ac:dyDescent="0.4">
      <c r="A12" s="234">
        <f>IF(CV!B23&lt;Age+B,CV!B23-Age+1,"")</f>
        <v>6</v>
      </c>
      <c r="B12" s="265">
        <f>IFERROR(IF(AND(Age&gt;=0,Age&lt;=60),IF(CV!B23+1&lt;=Age+B,CV!B23+1,""),""),"")</f>
        <v>26</v>
      </c>
      <c r="C12" s="235">
        <f ca="1">IFERROR(CV!Z24,"")</f>
        <v>1552.199080676291</v>
      </c>
      <c r="D12" s="2" t="str">
        <f t="shared" ca="1" si="0"/>
        <v/>
      </c>
    </row>
    <row r="13" spans="1:12" x14ac:dyDescent="0.4">
      <c r="A13" s="234">
        <f>IF(CV!B24&lt;Age+B,CV!B24-Age+1,"")</f>
        <v>7</v>
      </c>
      <c r="B13" s="265">
        <f>IFERROR(IF(AND(Age&gt;=0,Age&lt;=60),IF(CV!B24+1&lt;=Age+B,CV!B24+1,""),""),"")</f>
        <v>27</v>
      </c>
      <c r="C13" s="235">
        <f ca="1">IFERROR(CV!Z25,"")</f>
        <v>1892.1811785358318</v>
      </c>
      <c r="D13" s="2" t="str">
        <f t="shared" ca="1" si="0"/>
        <v/>
      </c>
    </row>
    <row r="14" spans="1:12" x14ac:dyDescent="0.4">
      <c r="A14" s="234">
        <f>IF(CV!B25&lt;Age+B,CV!B25-Age+1,"")</f>
        <v>8</v>
      </c>
      <c r="B14" s="265">
        <f>IFERROR(IF(AND(Age&gt;=0,Age&lt;=60),IF(CV!B25+1&lt;=Age+B,CV!B25+1,""),""),"")</f>
        <v>28</v>
      </c>
      <c r="C14" s="235">
        <f ca="1">IFERROR(CV!Z26,"")</f>
        <v>2250.7292172628868</v>
      </c>
      <c r="D14" s="2" t="str">
        <f t="shared" ca="1" si="0"/>
        <v/>
      </c>
    </row>
    <row r="15" spans="1:12" x14ac:dyDescent="0.4">
      <c r="A15" s="234">
        <f>IF(CV!B26&lt;Age+B,CV!B26-Age+1,"")</f>
        <v>9</v>
      </c>
      <c r="B15" s="265">
        <f>IFERROR(IF(AND(Age&gt;=0,Age&lt;=60),IF(CV!B26+1&lt;=Age+B,CV!B26+1,""),""),"")</f>
        <v>29</v>
      </c>
      <c r="C15" s="235">
        <f ca="1">IFERROR(CV!Z27,"")</f>
        <v>2628.767847557845</v>
      </c>
      <c r="D15" s="2" t="str">
        <f t="shared" ca="1" si="0"/>
        <v/>
      </c>
    </row>
    <row r="16" spans="1:12" x14ac:dyDescent="0.4">
      <c r="A16" s="234">
        <f>IF(CV!B27&lt;Age+B,CV!B27-Age+1,"")</f>
        <v>10</v>
      </c>
      <c r="B16" s="265">
        <f>IFERROR(IF(AND(Age&gt;=0,Age&lt;=60),IF(CV!B27+1&lt;=Age+B,CV!B27+1,""),""),"")</f>
        <v>30</v>
      </c>
      <c r="C16" s="235">
        <f ca="1">IFERROR(CV!Z28,"")</f>
        <v>3027.2549779604587</v>
      </c>
      <c r="D16" s="2" t="str">
        <f t="shared" ca="1" si="0"/>
        <v/>
      </c>
    </row>
    <row r="17" spans="1:4" x14ac:dyDescent="0.4">
      <c r="A17" s="234">
        <f>IF(CV!B28&lt;Age+B,CV!B28-Age+1,"")</f>
        <v>11</v>
      </c>
      <c r="B17" s="265">
        <f>IFERROR(IF(AND(Age&gt;=0,Age&lt;=60),IF(CV!B28+1&lt;=Age+B,CV!B28+1,""),""),"")</f>
        <v>31</v>
      </c>
      <c r="C17" s="235">
        <f ca="1">IFERROR(CV!Z29,"")</f>
        <v>3447.1909123905293</v>
      </c>
      <c r="D17" s="2" t="str">
        <f t="shared" ca="1" si="0"/>
        <v/>
      </c>
    </row>
    <row r="18" spans="1:4" x14ac:dyDescent="0.4">
      <c r="A18" s="234">
        <f>IF(CV!B29&lt;Age+B,CV!B29-Age+1,"")</f>
        <v>12</v>
      </c>
      <c r="B18" s="265">
        <f>IFERROR(IF(AND(Age&gt;=0,Age&lt;=60),IF(CV!B29+1&lt;=Age+B,CV!B29+1,""),""),"")</f>
        <v>32</v>
      </c>
      <c r="C18" s="235">
        <f ca="1">IFERROR(CV!Z30,"")</f>
        <v>3889.6355786065797</v>
      </c>
      <c r="D18" s="2" t="str">
        <f t="shared" ca="1" si="0"/>
        <v/>
      </c>
    </row>
    <row r="19" spans="1:4" x14ac:dyDescent="0.4">
      <c r="A19" s="234">
        <f>IF(CV!B30&lt;Age+B,CV!B30-Age+1,"")</f>
        <v>13</v>
      </c>
      <c r="B19" s="265">
        <f>IFERROR(IF(AND(Age&gt;=0,Age&lt;=60),IF(CV!B30+1&lt;=Age+B,CV!B30+1,""),""),"")</f>
        <v>33</v>
      </c>
      <c r="C19" s="235">
        <f ca="1">IFERROR(CV!Z31,"")</f>
        <v>4355.7007139727966</v>
      </c>
      <c r="D19" s="2" t="str">
        <f t="shared" ca="1" si="0"/>
        <v/>
      </c>
    </row>
    <row r="20" spans="1:4" x14ac:dyDescent="0.4">
      <c r="A20" s="234">
        <f>IF(CV!B31&lt;Age+B,CV!B31-Age+1,"")</f>
        <v>14</v>
      </c>
      <c r="B20" s="265">
        <f>IFERROR(IF(AND(Age&gt;=0,Age&lt;=60),IF(CV!B31+1&lt;=Age+B,CV!B31+1,""),""),"")</f>
        <v>34</v>
      </c>
      <c r="C20" s="235">
        <f ca="1">IFERROR(CV!Z32,"")</f>
        <v>4846.5522818519539</v>
      </c>
      <c r="D20" s="2" t="str">
        <f t="shared" ca="1" si="0"/>
        <v/>
      </c>
    </row>
    <row r="21" spans="1:4" x14ac:dyDescent="0.4">
      <c r="A21" s="234">
        <f>IF(CV!B32&lt;Age+B,CV!B32-Age+1,"")</f>
        <v>15</v>
      </c>
      <c r="B21" s="265">
        <f>IFERROR(IF(AND(Age&gt;=0,Age&lt;=60),IF(CV!B32+1&lt;=Age+B,CV!B32+1,""),""),"")</f>
        <v>35</v>
      </c>
      <c r="C21" s="235">
        <f ca="1">IFERROR(CV!Z33,"")</f>
        <v>5363.4128530193602</v>
      </c>
      <c r="D21" s="2" t="str">
        <f t="shared" ca="1" si="0"/>
        <v/>
      </c>
    </row>
    <row r="22" spans="1:4" x14ac:dyDescent="0.4">
      <c r="A22" s="234">
        <f>IF(CV!B33&lt;Age+B,CV!B33-Age+1,"")</f>
        <v>16</v>
      </c>
      <c r="B22" s="265">
        <f>IFERROR(IF(AND(Age&gt;=0,Age&lt;=60),IF(CV!B33+1&lt;=Age+B,CV!B33+1,""),""),"")</f>
        <v>36</v>
      </c>
      <c r="C22" s="235">
        <f ca="1">IFERROR(CV!Z34,"")</f>
        <v>5907.5642087823016</v>
      </c>
      <c r="D22" s="2" t="str">
        <f t="shared" ca="1" si="0"/>
        <v/>
      </c>
    </row>
    <row r="23" spans="1:4" x14ac:dyDescent="0.4">
      <c r="A23" s="234">
        <f>IF(CV!B34&lt;Age+B,CV!B34-Age+1,"")</f>
        <v>17</v>
      </c>
      <c r="B23" s="265">
        <f>IFERROR(IF(AND(Age&gt;=0,Age&lt;=60),IF(CV!B34+1&lt;=Age+B,CV!B34+1,""),""),"")</f>
        <v>37</v>
      </c>
      <c r="C23" s="235">
        <f ca="1">IFERROR(CV!Z35,"")</f>
        <v>6480.3501287262679</v>
      </c>
      <c r="D23" s="2" t="str">
        <f t="shared" ca="1" si="0"/>
        <v/>
      </c>
    </row>
    <row r="24" spans="1:4" x14ac:dyDescent="0.4">
      <c r="A24" s="234">
        <f>IF(CV!B35&lt;Age+B,CV!B35-Age+1,"")</f>
        <v>18</v>
      </c>
      <c r="B24" s="265">
        <f>IFERROR(IF(AND(Age&gt;=0,Age&lt;=60),IF(CV!B35+1&lt;=Age+B,CV!B35+1,""),""),"")</f>
        <v>38</v>
      </c>
      <c r="C24" s="235">
        <f ca="1">IFERROR(CV!Z36,"")</f>
        <v>7083.1789603826346</v>
      </c>
      <c r="D24" s="2" t="str">
        <f t="shared" ca="1" si="0"/>
        <v/>
      </c>
    </row>
    <row r="25" spans="1:4" x14ac:dyDescent="0.4">
      <c r="A25" s="234">
        <f>IF(CV!B36&lt;Age+B,CV!B36-Age+1,"")</f>
        <v>19</v>
      </c>
      <c r="B25" s="265">
        <f>IFERROR(IF(AND(Age&gt;=0,Age&lt;=60),IF(CV!B36+1&lt;=Age+B,CV!B36+1,""),""),"")</f>
        <v>39</v>
      </c>
      <c r="C25" s="235">
        <f ca="1">IFERROR(CV!Z37,"")</f>
        <v>7717.5268149576759</v>
      </c>
      <c r="D25" s="2" t="str">
        <f t="shared" ca="1" si="0"/>
        <v/>
      </c>
    </row>
    <row r="26" spans="1:4" x14ac:dyDescent="0.4">
      <c r="A26" s="234">
        <f>IF(CV!B37&lt;Age+B,CV!B37-Age+1,"")</f>
        <v>20</v>
      </c>
      <c r="B26" s="265">
        <f>IFERROR(IF(AND(Age&gt;=0,Age&lt;=60),IF(CV!B37+1&lt;=Age+B,CV!B37+1,""),""),"")</f>
        <v>40</v>
      </c>
      <c r="C26" s="235">
        <f ca="1">IFERROR(CV!Z38,"")</f>
        <v>8384.9405277008027</v>
      </c>
      <c r="D26" s="2" t="str">
        <f t="shared" ca="1" si="0"/>
        <v/>
      </c>
    </row>
    <row r="27" spans="1:4" x14ac:dyDescent="0.4">
      <c r="A27" s="234">
        <f>IF(CV!B38&lt;Age+B,CV!B38-Age+1,"")</f>
        <v>21</v>
      </c>
      <c r="B27" s="265">
        <f>IFERROR(IF(AND(Age&gt;=0,Age&lt;=60),IF(CV!B38+1&lt;=Age+B,CV!B38+1,""),""),"")</f>
        <v>41</v>
      </c>
      <c r="C27" s="235">
        <f ca="1">IFERROR(CV!Z39,"")</f>
        <v>8762.2628514473363</v>
      </c>
      <c r="D27" s="2" t="str">
        <f t="shared" ca="1" si="0"/>
        <v/>
      </c>
    </row>
    <row r="28" spans="1:4" x14ac:dyDescent="0.4">
      <c r="A28" s="234">
        <f>IF(CV!B39&lt;Age+B,CV!B39-Age+1,"")</f>
        <v>22</v>
      </c>
      <c r="B28" s="265">
        <f>IFERROR(IF(AND(Age&gt;=0,Age&lt;=60),IF(CV!B39+1&lt;=Age+B,CV!B39+1,""),""),"")</f>
        <v>42</v>
      </c>
      <c r="C28" s="235">
        <f ca="1">IFERROR(CV!Z40,"")</f>
        <v>9156.5646797624668</v>
      </c>
      <c r="D28" s="2" t="str">
        <f t="shared" ca="1" si="0"/>
        <v/>
      </c>
    </row>
    <row r="29" spans="1:4" x14ac:dyDescent="0.4">
      <c r="A29" s="234">
        <f>IF(CV!B40&lt;Age+B,CV!B40-Age+1,"")</f>
        <v>23</v>
      </c>
      <c r="B29" s="265">
        <f>IFERROR(IF(AND(Age&gt;=0,Age&lt;=60),IF(CV!B40+1&lt;=Age+B,CV!B40+1,""),""),"")</f>
        <v>43</v>
      </c>
      <c r="C29" s="235">
        <f ca="1">IFERROR(CV!Z41,"")</f>
        <v>9568.6100903517781</v>
      </c>
      <c r="D29" s="2" t="str">
        <f t="shared" ca="1" si="0"/>
        <v/>
      </c>
    </row>
    <row r="30" spans="1:4" x14ac:dyDescent="0.4">
      <c r="A30" s="234">
        <f>IF(CV!B41&lt;Age+B,CV!B41-Age+1,"")</f>
        <v>24</v>
      </c>
      <c r="B30" s="265">
        <f>IFERROR(IF(AND(Age&gt;=0,Age&lt;=60),IF(CV!B41+1&lt;=Age+B,CV!B41+1,""),""),"")</f>
        <v>44</v>
      </c>
      <c r="C30" s="235">
        <f ca="1">IFERROR(CV!Z42,"")</f>
        <v>9999.1975444176041</v>
      </c>
      <c r="D30" s="2" t="str">
        <f t="shared" ca="1" si="0"/>
        <v/>
      </c>
    </row>
    <row r="31" spans="1:4" x14ac:dyDescent="0.4">
      <c r="A31" s="234">
        <f>IF(CV!B42&lt;Age+B,CV!B42-Age+1,"")</f>
        <v>25</v>
      </c>
      <c r="B31" s="265">
        <f>IFERROR(IF(AND(Age&gt;=0,Age&lt;=60),IF(CV!B42+1&lt;=Age+B,CV!B42+1,""),""),"")</f>
        <v>45</v>
      </c>
      <c r="C31" s="235">
        <f ca="1">IFERROR(CV!Z43,"")</f>
        <v>10449.161433916401</v>
      </c>
      <c r="D31" s="2" t="str">
        <f t="shared" ca="1" si="0"/>
        <v/>
      </c>
    </row>
    <row r="32" spans="1:4" x14ac:dyDescent="0.4">
      <c r="A32" s="234">
        <f>IF(CV!B43&lt;Age+B,CV!B43-Age+1,"")</f>
        <v>26</v>
      </c>
      <c r="B32" s="265">
        <f>IFERROR(IF(AND(Age&gt;=0,Age&lt;=60),IF(CV!B43+1&lt;=Age+B,CV!B43+1,""),""),"")</f>
        <v>46</v>
      </c>
      <c r="C32" s="235">
        <f ca="1">IFERROR(CV!Z44,"")</f>
        <v>10919.373698442632</v>
      </c>
      <c r="D32" s="2" t="str">
        <f t="shared" ca="1" si="0"/>
        <v/>
      </c>
    </row>
    <row r="33" spans="1:4" x14ac:dyDescent="0.4">
      <c r="A33" s="234">
        <f>IF(CV!B44&lt;Age+B,CV!B44-Age+1,"")</f>
        <v>27</v>
      </c>
      <c r="B33" s="265">
        <f>IFERROR(IF(AND(Age&gt;=0,Age&lt;=60),IF(CV!B44+1&lt;=Age+B,CV!B44+1,""),""),"")</f>
        <v>47</v>
      </c>
      <c r="C33" s="235">
        <f ca="1">IFERROR(CV!Z45,"")</f>
        <v>11410.745514872555</v>
      </c>
      <c r="D33" s="2" t="str">
        <f t="shared" ca="1" si="0"/>
        <v/>
      </c>
    </row>
    <row r="34" spans="1:4" x14ac:dyDescent="0.4">
      <c r="A34" s="234">
        <f>IF(CV!B45&lt;Age+B,CV!B45-Age+1,"")</f>
        <v>28</v>
      </c>
      <c r="B34" s="265">
        <f>IFERROR(IF(AND(Age&gt;=0,Age&lt;=60),IF(CV!B45+1&lt;=Age+B,CV!B45+1,""),""),"")</f>
        <v>48</v>
      </c>
      <c r="C34" s="235">
        <f ca="1">IFERROR(CV!Z46,"")</f>
        <v>11924.229063041814</v>
      </c>
      <c r="D34" s="2" t="str">
        <f t="shared" ca="1" si="0"/>
        <v/>
      </c>
    </row>
    <row r="35" spans="1:4" x14ac:dyDescent="0.4">
      <c r="A35" s="234">
        <f>IF(CV!B46&lt;Age+B,CV!B46-Age+1,"")</f>
        <v>29</v>
      </c>
      <c r="B35" s="265">
        <f>IFERROR(IF(AND(Age&gt;=0,Age&lt;=60),IF(CV!B46+1&lt;=Age+B,CV!B46+1,""),""),"")</f>
        <v>49</v>
      </c>
      <c r="C35" s="235">
        <f ca="1">IFERROR(CV!Z47,"")</f>
        <v>12460.819370878695</v>
      </c>
      <c r="D35" s="2" t="str">
        <f t="shared" ca="1" si="0"/>
        <v/>
      </c>
    </row>
    <row r="36" spans="1:4" x14ac:dyDescent="0.4">
      <c r="A36" s="234">
        <f>IF(CV!B47&lt;Age+B,CV!B47-Age+1,"")</f>
        <v>30</v>
      </c>
      <c r="B36" s="265">
        <f>IFERROR(IF(AND(Age&gt;=0,Age&lt;=60),IF(CV!B47+1&lt;=Age+B,CV!B47+1,""),""),"")</f>
        <v>50</v>
      </c>
      <c r="C36" s="235">
        <f ca="1">IFERROR(CV!Z48,"")</f>
        <v>13021.556242568235</v>
      </c>
      <c r="D36" s="2" t="str">
        <f t="shared" ca="1" si="0"/>
        <v/>
      </c>
    </row>
    <row r="37" spans="1:4" x14ac:dyDescent="0.4">
      <c r="A37" s="234">
        <f>IF(CV!B48&lt;Age+B,CV!B48-Age+1,"")</f>
        <v>31</v>
      </c>
      <c r="B37" s="265">
        <f>IFERROR(IF(AND(Age&gt;=0,Age&lt;=60),IF(CV!B48+1&lt;=Age+B,CV!B48+1,""),""),"")</f>
        <v>51</v>
      </c>
      <c r="C37" s="235">
        <f ca="1">IFERROR(CV!Z49,"")</f>
        <v>13607.526273483805</v>
      </c>
      <c r="D37" s="2" t="str">
        <f t="shared" ca="1" si="0"/>
        <v/>
      </c>
    </row>
    <row r="38" spans="1:4" x14ac:dyDescent="0.4">
      <c r="A38" s="234">
        <f>IF(CV!B49&lt;Age+B,CV!B49-Age+1,"")</f>
        <v>32</v>
      </c>
      <c r="B38" s="265">
        <f>IFERROR(IF(AND(Age&gt;=0,Age&lt;=60),IF(CV!B49+1&lt;=Age+B,CV!B49+1,""),""),"")</f>
        <v>52</v>
      </c>
      <c r="C38" s="235">
        <f ca="1">IFERROR(CV!Z50,"")</f>
        <v>14219.864955790574</v>
      </c>
      <c r="D38" s="2" t="str">
        <f t="shared" ca="1" si="0"/>
        <v/>
      </c>
    </row>
    <row r="39" spans="1:4" x14ac:dyDescent="0.4">
      <c r="A39" s="234">
        <f>IF(CV!B50&lt;Age+B,CV!B50-Age+1,"")</f>
        <v>33</v>
      </c>
      <c r="B39" s="265">
        <f>IFERROR(IF(AND(Age&gt;=0,Age&lt;=60),IF(CV!B50+1&lt;=Age+B,CV!B50+1,""),""),"")</f>
        <v>53</v>
      </c>
      <c r="C39" s="235">
        <f ca="1">IFERROR(CV!Z51,"")</f>
        <v>14859.758878801149</v>
      </c>
      <c r="D39" s="2" t="str">
        <f t="shared" ca="1" si="0"/>
        <v/>
      </c>
    </row>
    <row r="40" spans="1:4" x14ac:dyDescent="0.4">
      <c r="A40" s="234">
        <f>IF(CV!B51&lt;Age+B,CV!B51-Age+1,"")</f>
        <v>34</v>
      </c>
      <c r="B40" s="265">
        <f>IFERROR(IF(AND(Age&gt;=0,Age&lt;=60),IF(CV!B51+1&lt;=Age+B,CV!B51+1,""),""),"")</f>
        <v>54</v>
      </c>
      <c r="C40" s="235">
        <f ca="1">IFERROR(CV!Z52,"")</f>
        <v>15528.448028347195</v>
      </c>
      <c r="D40" s="2" t="str">
        <f t="shared" ref="D40:D71" ca="1" si="1">IF(AND(C40=0,C39&gt;0),"→本年度年初t开始领取第一笔养老年金","")</f>
        <v/>
      </c>
    </row>
    <row r="41" spans="1:4" x14ac:dyDescent="0.4">
      <c r="A41" s="234">
        <f>IF(CV!B52&lt;Age+B,CV!B52-Age+1,"")</f>
        <v>35</v>
      </c>
      <c r="B41" s="265">
        <f>IFERROR(IF(AND(Age&gt;=0,Age&lt;=60),IF(CV!B52+1&lt;=Age+B,CV!B52+1,""),""),"")</f>
        <v>55</v>
      </c>
      <c r="C41" s="235">
        <f ca="1">IFERROR(CV!Z53,"")</f>
        <v>16227.228189622821</v>
      </c>
      <c r="D41" s="2" t="str">
        <f t="shared" ca="1" si="1"/>
        <v/>
      </c>
    </row>
    <row r="42" spans="1:4" x14ac:dyDescent="0.4">
      <c r="A42" s="234">
        <f>IF(CV!B53&lt;Age+B,CV!B53-Age+1,"")</f>
        <v>36</v>
      </c>
      <c r="B42" s="265">
        <f>IFERROR(IF(AND(Age&gt;=0,Age&lt;=60),IF(CV!B53+1&lt;=Age+B,CV!B53+1,""),""),"")</f>
        <v>56</v>
      </c>
      <c r="C42" s="235">
        <f ca="1">IFERROR(CV!Z54,"")</f>
        <v>16957.453458155847</v>
      </c>
      <c r="D42" s="2" t="str">
        <f t="shared" ca="1" si="1"/>
        <v/>
      </c>
    </row>
    <row r="43" spans="1:4" x14ac:dyDescent="0.4">
      <c r="A43" s="234">
        <f>IF(CV!B54&lt;Age+B,CV!B54-Age+1,"")</f>
        <v>37</v>
      </c>
      <c r="B43" s="265">
        <f>IFERROR(IF(AND(Age&gt;=0,Age&lt;=60),IF(CV!B54+1&lt;=Age+B,CV!B54+1,""),""),"")</f>
        <v>57</v>
      </c>
      <c r="C43" s="235">
        <f ca="1">IFERROR(CV!Z55,"")</f>
        <v>17720.538863772857</v>
      </c>
      <c r="D43" s="2" t="str">
        <f t="shared" ca="1" si="1"/>
        <v/>
      </c>
    </row>
    <row r="44" spans="1:4" x14ac:dyDescent="0.4">
      <c r="A44" s="234">
        <f>IF(CV!B55&lt;Age+B,CV!B55-Age+1,"")</f>
        <v>38</v>
      </c>
      <c r="B44" s="265">
        <f>IFERROR(IF(AND(Age&gt;=0,Age&lt;=60),IF(CV!B55+1&lt;=Age+B,CV!B55+1,""),""),"")</f>
        <v>58</v>
      </c>
      <c r="C44" s="235">
        <f ca="1">IFERROR(CV!Z56,"")</f>
        <v>18517.963112642628</v>
      </c>
      <c r="D44" s="2" t="str">
        <f t="shared" ca="1" si="1"/>
        <v/>
      </c>
    </row>
    <row r="45" spans="1:4" x14ac:dyDescent="0.4">
      <c r="A45" s="234">
        <f>IF(CV!B56&lt;Age+B,CV!B56-Age+1,"")</f>
        <v>39</v>
      </c>
      <c r="B45" s="265">
        <f>IFERROR(IF(AND(Age&gt;=0,Age&lt;=60),IF(CV!B56+1&lt;=Age+B,CV!B56+1,""),""),"")</f>
        <v>59</v>
      </c>
      <c r="C45" s="235">
        <f ca="1">IFERROR(CV!Z57,"")</f>
        <v>19351.271452711546</v>
      </c>
      <c r="D45" s="2" t="str">
        <f t="shared" ca="1" si="1"/>
        <v/>
      </c>
    </row>
    <row r="46" spans="1:4" x14ac:dyDescent="0.4">
      <c r="A46" s="234">
        <f>IF(CV!B57&lt;Age+B,CV!B57-Age+1,"")</f>
        <v>40</v>
      </c>
      <c r="B46" s="265">
        <f>IFERROR(IF(AND(Age&gt;=0,Age&lt;=60),IF(CV!B57+1&lt;=Age+B,CV!B57+1,""),""),"")</f>
        <v>60</v>
      </c>
      <c r="C46" s="235">
        <f ca="1">IFERROR(CV!Z58,"")</f>
        <v>19032.078668083563</v>
      </c>
      <c r="D46" s="2" t="str">
        <f t="shared" ca="1" si="1"/>
        <v/>
      </c>
    </row>
    <row r="47" spans="1:4" x14ac:dyDescent="0.4">
      <c r="A47" s="234">
        <f>IF(CV!B58&lt;Age+B,CV!B58-Age+1,"")</f>
        <v>41</v>
      </c>
      <c r="B47" s="265">
        <f>IFERROR(IF(AND(Age&gt;=0,Age&lt;=60),IF(CV!B58+1&lt;=Age+B,CV!B58+1,""),""),"")</f>
        <v>61</v>
      </c>
      <c r="C47" s="235">
        <f>IFERROR(CV!Z59,"")</f>
        <v>0</v>
      </c>
      <c r="D47" s="2" t="str">
        <f t="shared" ca="1" si="1"/>
        <v>→本年度年初t开始领取第一笔养老年金</v>
      </c>
    </row>
    <row r="48" spans="1:4" x14ac:dyDescent="0.4">
      <c r="A48" s="234">
        <f>IF(CV!B59&lt;Age+B,CV!B59-Age+1,"")</f>
        <v>42</v>
      </c>
      <c r="B48" s="265">
        <f>IFERROR(IF(AND(Age&gt;=0,Age&lt;=60),IF(CV!B59+1&lt;=Age+B,CV!B59+1,""),""),"")</f>
        <v>62</v>
      </c>
      <c r="C48" s="235">
        <f>IFERROR(CV!Z60,"")</f>
        <v>0</v>
      </c>
      <c r="D48" s="2" t="str">
        <f t="shared" si="1"/>
        <v/>
      </c>
    </row>
    <row r="49" spans="1:4" x14ac:dyDescent="0.4">
      <c r="A49" s="234">
        <f>IF(CV!B60&lt;Age+B,CV!B60-Age+1,"")</f>
        <v>43</v>
      </c>
      <c r="B49" s="265">
        <f>IFERROR(IF(AND(Age&gt;=0,Age&lt;=60),IF(CV!B60+1&lt;=Age+B,CV!B60+1,""),""),"")</f>
        <v>63</v>
      </c>
      <c r="C49" s="235">
        <f>IFERROR(CV!Z61,"")</f>
        <v>0</v>
      </c>
      <c r="D49" s="2" t="str">
        <f t="shared" si="1"/>
        <v/>
      </c>
    </row>
    <row r="50" spans="1:4" x14ac:dyDescent="0.4">
      <c r="A50" s="234">
        <f>IF(CV!B61&lt;Age+B,CV!B61-Age+1,"")</f>
        <v>44</v>
      </c>
      <c r="B50" s="265">
        <f>IFERROR(IF(AND(Age&gt;=0,Age&lt;=60),IF(CV!B61+1&lt;=Age+B,CV!B61+1,""),""),"")</f>
        <v>64</v>
      </c>
      <c r="C50" s="235">
        <f>IFERROR(CV!Z62,"")</f>
        <v>0</v>
      </c>
      <c r="D50" s="2" t="str">
        <f t="shared" si="1"/>
        <v/>
      </c>
    </row>
    <row r="51" spans="1:4" x14ac:dyDescent="0.4">
      <c r="A51" s="234">
        <f>IF(CV!B62&lt;Age+B,CV!B62-Age+1,"")</f>
        <v>45</v>
      </c>
      <c r="B51" s="265">
        <f>IFERROR(IF(AND(Age&gt;=0,Age&lt;=60),IF(CV!B62+1&lt;=Age+B,CV!B62+1,""),""),"")</f>
        <v>65</v>
      </c>
      <c r="C51" s="235">
        <f>IFERROR(CV!Z63,"")</f>
        <v>0</v>
      </c>
      <c r="D51" s="2" t="str">
        <f t="shared" si="1"/>
        <v/>
      </c>
    </row>
    <row r="52" spans="1:4" x14ac:dyDescent="0.4">
      <c r="A52" s="234">
        <f>IF(CV!B63&lt;Age+B,CV!B63-Age+1,"")</f>
        <v>46</v>
      </c>
      <c r="B52" s="265">
        <f>IFERROR(IF(AND(Age&gt;=0,Age&lt;=60),IF(CV!B63+1&lt;=Age+B,CV!B63+1,""),""),"")</f>
        <v>66</v>
      </c>
      <c r="C52" s="235">
        <f>IFERROR(CV!Z64,"")</f>
        <v>0</v>
      </c>
      <c r="D52" s="2" t="str">
        <f t="shared" si="1"/>
        <v/>
      </c>
    </row>
    <row r="53" spans="1:4" x14ac:dyDescent="0.4">
      <c r="A53" s="234">
        <f>IF(CV!B64&lt;Age+B,CV!B64-Age+1,"")</f>
        <v>47</v>
      </c>
      <c r="B53" s="265">
        <f>IFERROR(IF(AND(Age&gt;=0,Age&lt;=60),IF(CV!B64+1&lt;=Age+B,CV!B64+1,""),""),"")</f>
        <v>67</v>
      </c>
      <c r="C53" s="235">
        <f>IFERROR(CV!Z65,"")</f>
        <v>0</v>
      </c>
      <c r="D53" s="2" t="str">
        <f t="shared" si="1"/>
        <v/>
      </c>
    </row>
    <row r="54" spans="1:4" x14ac:dyDescent="0.4">
      <c r="A54" s="234">
        <f>IF(CV!B65&lt;Age+B,CV!B65-Age+1,"")</f>
        <v>48</v>
      </c>
      <c r="B54" s="265">
        <f>IFERROR(IF(AND(Age&gt;=0,Age&lt;=60),IF(CV!B65+1&lt;=Age+B,CV!B65+1,""),""),"")</f>
        <v>68</v>
      </c>
      <c r="C54" s="235">
        <f>IFERROR(CV!Z66,"")</f>
        <v>0</v>
      </c>
      <c r="D54" s="2" t="str">
        <f t="shared" si="1"/>
        <v/>
      </c>
    </row>
    <row r="55" spans="1:4" x14ac:dyDescent="0.4">
      <c r="A55" s="234">
        <f>IF(CV!B66&lt;Age+B,CV!B66-Age+1,"")</f>
        <v>49</v>
      </c>
      <c r="B55" s="265">
        <f>IFERROR(IF(AND(Age&gt;=0,Age&lt;=60),IF(CV!B66+1&lt;=Age+B,CV!B66+1,""),""),"")</f>
        <v>69</v>
      </c>
      <c r="C55" s="235">
        <f>IFERROR(CV!Z67,"")</f>
        <v>0</v>
      </c>
      <c r="D55" s="2" t="str">
        <f t="shared" si="1"/>
        <v/>
      </c>
    </row>
    <row r="56" spans="1:4" x14ac:dyDescent="0.4">
      <c r="A56" s="234">
        <f>IF(CV!B67&lt;Age+B,CV!B67-Age+1,"")</f>
        <v>50</v>
      </c>
      <c r="B56" s="265">
        <f>IFERROR(IF(AND(Age&gt;=0,Age&lt;=60),IF(CV!B67+1&lt;=Age+B,CV!B67+1,""),""),"")</f>
        <v>70</v>
      </c>
      <c r="C56" s="235">
        <f>IFERROR(CV!Z68,"")</f>
        <v>0</v>
      </c>
      <c r="D56" s="2" t="str">
        <f t="shared" si="1"/>
        <v/>
      </c>
    </row>
    <row r="57" spans="1:4" x14ac:dyDescent="0.4">
      <c r="A57" s="234">
        <f>IF(CV!B68&lt;Age+B,CV!B68-Age+1,"")</f>
        <v>51</v>
      </c>
      <c r="B57" s="265">
        <f>IFERROR(IF(AND(Age&gt;=0,Age&lt;=60),IF(CV!B68+1&lt;=Age+B,CV!B68+1,""),""),"")</f>
        <v>71</v>
      </c>
      <c r="C57" s="235">
        <f>IFERROR(CV!Z69,"")</f>
        <v>0</v>
      </c>
      <c r="D57" s="2" t="str">
        <f t="shared" si="1"/>
        <v/>
      </c>
    </row>
    <row r="58" spans="1:4" x14ac:dyDescent="0.4">
      <c r="A58" s="234">
        <f>IF(CV!B69&lt;Age+B,CV!B69-Age+1,"")</f>
        <v>52</v>
      </c>
      <c r="B58" s="265">
        <f>IFERROR(IF(AND(Age&gt;=0,Age&lt;=60),IF(CV!B69+1&lt;=Age+B,CV!B69+1,""),""),"")</f>
        <v>72</v>
      </c>
      <c r="C58" s="235">
        <f>IFERROR(CV!Z70,"")</f>
        <v>0</v>
      </c>
      <c r="D58" s="2" t="str">
        <f t="shared" si="1"/>
        <v/>
      </c>
    </row>
    <row r="59" spans="1:4" x14ac:dyDescent="0.4">
      <c r="A59" s="234">
        <f>IF(CV!B70&lt;Age+B,CV!B70-Age+1,"")</f>
        <v>53</v>
      </c>
      <c r="B59" s="265">
        <f>IFERROR(IF(AND(Age&gt;=0,Age&lt;=60),IF(CV!B70+1&lt;=Age+B,CV!B70+1,""),""),"")</f>
        <v>73</v>
      </c>
      <c r="C59" s="235">
        <f>IFERROR(CV!Z71,"")</f>
        <v>0</v>
      </c>
      <c r="D59" s="2" t="str">
        <f t="shared" si="1"/>
        <v/>
      </c>
    </row>
    <row r="60" spans="1:4" x14ac:dyDescent="0.4">
      <c r="A60" s="234">
        <f>IF(CV!B71&lt;Age+B,CV!B71-Age+1,"")</f>
        <v>54</v>
      </c>
      <c r="B60" s="265">
        <f>IFERROR(IF(AND(Age&gt;=0,Age&lt;=60),IF(CV!B71+1&lt;=Age+B,CV!B71+1,""),""),"")</f>
        <v>74</v>
      </c>
      <c r="C60" s="235">
        <f>IFERROR(CV!Z72,"")</f>
        <v>0</v>
      </c>
      <c r="D60" s="2" t="str">
        <f t="shared" si="1"/>
        <v/>
      </c>
    </row>
    <row r="61" spans="1:4" x14ac:dyDescent="0.4">
      <c r="A61" s="234">
        <f>IF(CV!B72&lt;Age+B,CV!B72-Age+1,"")</f>
        <v>55</v>
      </c>
      <c r="B61" s="265">
        <f>IFERROR(IF(AND(Age&gt;=0,Age&lt;=60),IF(CV!B72+1&lt;=Age+B,CV!B72+1,""),""),"")</f>
        <v>75</v>
      </c>
      <c r="C61" s="235">
        <f>IFERROR(CV!Z73,"")</f>
        <v>0</v>
      </c>
      <c r="D61" s="2" t="str">
        <f t="shared" si="1"/>
        <v/>
      </c>
    </row>
    <row r="62" spans="1:4" x14ac:dyDescent="0.4">
      <c r="A62" s="234">
        <f>IF(CV!B73&lt;Age+B,CV!B73-Age+1,"")</f>
        <v>56</v>
      </c>
      <c r="B62" s="265">
        <f>IFERROR(IF(AND(Age&gt;=0,Age&lt;=60),IF(CV!B73+1&lt;=Age+B,CV!B73+1,""),""),"")</f>
        <v>76</v>
      </c>
      <c r="C62" s="235">
        <f>IFERROR(CV!Z74,"")</f>
        <v>0</v>
      </c>
      <c r="D62" s="2" t="str">
        <f t="shared" si="1"/>
        <v/>
      </c>
    </row>
    <row r="63" spans="1:4" x14ac:dyDescent="0.4">
      <c r="A63" s="234">
        <f>IF(CV!B74&lt;Age+B,CV!B74-Age+1,"")</f>
        <v>57</v>
      </c>
      <c r="B63" s="265">
        <f>IFERROR(IF(AND(Age&gt;=0,Age&lt;=60),IF(CV!B74+1&lt;=Age+B,CV!B74+1,""),""),"")</f>
        <v>77</v>
      </c>
      <c r="C63" s="235">
        <f>IFERROR(CV!Z75,"")</f>
        <v>0</v>
      </c>
      <c r="D63" s="2" t="str">
        <f t="shared" si="1"/>
        <v/>
      </c>
    </row>
    <row r="64" spans="1:4" x14ac:dyDescent="0.4">
      <c r="A64" s="234">
        <f>IF(CV!B75&lt;Age+B,CV!B75-Age+1,"")</f>
        <v>58</v>
      </c>
      <c r="B64" s="265">
        <f>IFERROR(IF(AND(Age&gt;=0,Age&lt;=60),IF(CV!B75+1&lt;=Age+B,CV!B75+1,""),""),"")</f>
        <v>78</v>
      </c>
      <c r="C64" s="235">
        <f>IFERROR(CV!Z76,"")</f>
        <v>0</v>
      </c>
      <c r="D64" s="2" t="str">
        <f t="shared" si="1"/>
        <v/>
      </c>
    </row>
    <row r="65" spans="1:4" x14ac:dyDescent="0.4">
      <c r="A65" s="234">
        <f>IF(CV!B76&lt;Age+B,CV!B76-Age+1,"")</f>
        <v>59</v>
      </c>
      <c r="B65" s="265">
        <f>IFERROR(IF(AND(Age&gt;=0,Age&lt;=60),IF(CV!B76+1&lt;=Age+B,CV!B76+1,""),""),"")</f>
        <v>79</v>
      </c>
      <c r="C65" s="235">
        <f>IFERROR(CV!Z77,"")</f>
        <v>0</v>
      </c>
      <c r="D65" s="2" t="str">
        <f t="shared" si="1"/>
        <v/>
      </c>
    </row>
    <row r="66" spans="1:4" x14ac:dyDescent="0.4">
      <c r="A66" s="234">
        <f>IF(CV!B77&lt;Age+B,CV!B77-Age+1,"")</f>
        <v>60</v>
      </c>
      <c r="B66" s="265">
        <f>IFERROR(IF(AND(Age&gt;=0,Age&lt;=60),IF(CV!B77+1&lt;=Age+B,CV!B77+1,""),""),"")</f>
        <v>80</v>
      </c>
      <c r="C66" s="235">
        <f>IFERROR(CV!Z78,"")</f>
        <v>0</v>
      </c>
      <c r="D66" s="2" t="str">
        <f t="shared" si="1"/>
        <v/>
      </c>
    </row>
    <row r="67" spans="1:4" x14ac:dyDescent="0.4">
      <c r="A67" s="234">
        <f>IF(CV!B78&lt;Age+B,CV!B78-Age+1,"")</f>
        <v>61</v>
      </c>
      <c r="B67" s="265">
        <f>IFERROR(IF(AND(Age&gt;=0,Age&lt;=60),IF(CV!B78+1&lt;=Age+B,CV!B78+1,""),""),"")</f>
        <v>81</v>
      </c>
      <c r="C67" s="235">
        <f>IFERROR(CV!Z79,"")</f>
        <v>0</v>
      </c>
      <c r="D67" s="2" t="str">
        <f t="shared" si="1"/>
        <v/>
      </c>
    </row>
    <row r="68" spans="1:4" x14ac:dyDescent="0.4">
      <c r="A68" s="234">
        <f>IF(CV!B79&lt;Age+B,CV!B79-Age+1,"")</f>
        <v>62</v>
      </c>
      <c r="B68" s="265">
        <f>IFERROR(IF(AND(Age&gt;=0,Age&lt;=60),IF(CV!B79+1&lt;=Age+B,CV!B79+1,""),""),"")</f>
        <v>82</v>
      </c>
      <c r="C68" s="235">
        <f>IFERROR(CV!Z80,"")</f>
        <v>0</v>
      </c>
      <c r="D68" s="2" t="str">
        <f t="shared" si="1"/>
        <v/>
      </c>
    </row>
    <row r="69" spans="1:4" x14ac:dyDescent="0.4">
      <c r="A69" s="234">
        <f>IF(CV!B80&lt;Age+B,CV!B80-Age+1,"")</f>
        <v>63</v>
      </c>
      <c r="B69" s="265">
        <f>IFERROR(IF(AND(Age&gt;=0,Age&lt;=60),IF(CV!B80+1&lt;=Age+B,CV!B80+1,""),""),"")</f>
        <v>83</v>
      </c>
      <c r="C69" s="235">
        <f>IFERROR(CV!Z81,"")</f>
        <v>0</v>
      </c>
      <c r="D69" s="2" t="str">
        <f t="shared" si="1"/>
        <v/>
      </c>
    </row>
    <row r="70" spans="1:4" x14ac:dyDescent="0.4">
      <c r="A70" s="234">
        <f>IF(CV!B81&lt;Age+B,CV!B81-Age+1,"")</f>
        <v>64</v>
      </c>
      <c r="B70" s="265">
        <f>IFERROR(IF(AND(Age&gt;=0,Age&lt;=60),IF(CV!B81+1&lt;=Age+B,CV!B81+1,""),""),"")</f>
        <v>84</v>
      </c>
      <c r="C70" s="235">
        <f>IFERROR(CV!Z82,"")</f>
        <v>0</v>
      </c>
      <c r="D70" s="2" t="str">
        <f t="shared" si="1"/>
        <v/>
      </c>
    </row>
    <row r="71" spans="1:4" x14ac:dyDescent="0.4">
      <c r="A71" s="234">
        <f>IF(CV!B82&lt;Age+B,CV!B82-Age+1,"")</f>
        <v>65</v>
      </c>
      <c r="B71" s="265">
        <f>IFERROR(IF(AND(Age&gt;=0,Age&lt;=60),IF(CV!B82+1&lt;=Age+B,CV!B82+1,""),""),"")</f>
        <v>85</v>
      </c>
      <c r="C71" s="235">
        <f>IFERROR(CV!Z83,"")</f>
        <v>0</v>
      </c>
      <c r="D71" s="2" t="str">
        <f t="shared" si="1"/>
        <v/>
      </c>
    </row>
    <row r="72" spans="1:4" x14ac:dyDescent="0.4">
      <c r="A72" s="234">
        <f>IF(CV!B83&lt;Age+B,CV!B83-Age+1,"")</f>
        <v>66</v>
      </c>
      <c r="B72" s="265">
        <f>IFERROR(IF(AND(Age&gt;=0,Age&lt;=60),IF(CV!B83+1&lt;=Age+B,CV!B83+1,""),""),"")</f>
        <v>86</v>
      </c>
      <c r="C72" s="235">
        <f>IFERROR(CV!Z84,"")</f>
        <v>0</v>
      </c>
      <c r="D72" s="2" t="str">
        <f t="shared" ref="D72:D103" si="2">IF(AND(C72=0,C71&gt;0),"→本年度年初t开始领取第一笔养老年金","")</f>
        <v/>
      </c>
    </row>
    <row r="73" spans="1:4" x14ac:dyDescent="0.4">
      <c r="A73" s="234">
        <f>IF(CV!B84&lt;Age+B,CV!B84-Age+1,"")</f>
        <v>67</v>
      </c>
      <c r="B73" s="265">
        <f>IFERROR(IF(AND(Age&gt;=0,Age&lt;=60),IF(CV!B84+1&lt;=Age+B,CV!B84+1,""),""),"")</f>
        <v>87</v>
      </c>
      <c r="C73" s="235">
        <f>IFERROR(CV!Z85,"")</f>
        <v>0</v>
      </c>
      <c r="D73" s="2" t="str">
        <f t="shared" si="2"/>
        <v/>
      </c>
    </row>
    <row r="74" spans="1:4" x14ac:dyDescent="0.4">
      <c r="A74" s="234">
        <f>IF(CV!B85&lt;Age+B,CV!B85-Age+1,"")</f>
        <v>68</v>
      </c>
      <c r="B74" s="265">
        <f>IFERROR(IF(AND(Age&gt;=0,Age&lt;=60),IF(CV!B85+1&lt;=Age+B,CV!B85+1,""),""),"")</f>
        <v>88</v>
      </c>
      <c r="C74" s="235">
        <f>IFERROR(CV!Z86,"")</f>
        <v>0</v>
      </c>
      <c r="D74" s="2" t="str">
        <f t="shared" si="2"/>
        <v/>
      </c>
    </row>
    <row r="75" spans="1:4" x14ac:dyDescent="0.4">
      <c r="A75" s="234">
        <f>IF(CV!B86&lt;Age+B,CV!B86-Age+1,"")</f>
        <v>69</v>
      </c>
      <c r="B75" s="265">
        <f>IFERROR(IF(AND(Age&gt;=0,Age&lt;=60),IF(CV!B86+1&lt;=Age+B,CV!B86+1,""),""),"")</f>
        <v>89</v>
      </c>
      <c r="C75" s="235">
        <f>IFERROR(CV!Z87,"")</f>
        <v>0</v>
      </c>
      <c r="D75" s="2" t="str">
        <f t="shared" si="2"/>
        <v/>
      </c>
    </row>
    <row r="76" spans="1:4" x14ac:dyDescent="0.4">
      <c r="A76" s="234">
        <f>IF(CV!B87&lt;Age+B,CV!B87-Age+1,"")</f>
        <v>70</v>
      </c>
      <c r="B76" s="265">
        <f>IFERROR(IF(AND(Age&gt;=0,Age&lt;=60),IF(CV!B87+1&lt;=Age+B,CV!B87+1,""),""),"")</f>
        <v>90</v>
      </c>
      <c r="C76" s="235">
        <f>IFERROR(CV!Z88,"")</f>
        <v>0</v>
      </c>
      <c r="D76" s="2" t="str">
        <f t="shared" si="2"/>
        <v/>
      </c>
    </row>
    <row r="77" spans="1:4" x14ac:dyDescent="0.4">
      <c r="A77" s="234">
        <f>IF(CV!B88&lt;Age+B,CV!B88-Age+1,"")</f>
        <v>71</v>
      </c>
      <c r="B77" s="265">
        <f>IFERROR(IF(AND(Age&gt;=0,Age&lt;=60),IF(CV!B88+1&lt;=Age+B,CV!B88+1,""),""),"")</f>
        <v>91</v>
      </c>
      <c r="C77" s="235">
        <f>IFERROR(CV!Z89,"")</f>
        <v>0</v>
      </c>
      <c r="D77" s="2" t="str">
        <f t="shared" si="2"/>
        <v/>
      </c>
    </row>
    <row r="78" spans="1:4" x14ac:dyDescent="0.4">
      <c r="A78" s="234">
        <f>IF(CV!B89&lt;Age+B,CV!B89-Age+1,"")</f>
        <v>72</v>
      </c>
      <c r="B78" s="265">
        <f>IFERROR(IF(AND(Age&gt;=0,Age&lt;=60),IF(CV!B89+1&lt;=Age+B,CV!B89+1,""),""),"")</f>
        <v>92</v>
      </c>
      <c r="C78" s="235">
        <f>IFERROR(CV!Z90,"")</f>
        <v>0</v>
      </c>
      <c r="D78" s="2" t="str">
        <f t="shared" si="2"/>
        <v/>
      </c>
    </row>
    <row r="79" spans="1:4" x14ac:dyDescent="0.4">
      <c r="A79" s="234">
        <f>IF(CV!B90&lt;Age+B,CV!B90-Age+1,"")</f>
        <v>73</v>
      </c>
      <c r="B79" s="265">
        <f>IFERROR(IF(AND(Age&gt;=0,Age&lt;=60),IF(CV!B90+1&lt;=Age+B,CV!B90+1,""),""),"")</f>
        <v>93</v>
      </c>
      <c r="C79" s="235">
        <f>IFERROR(CV!Z91,"")</f>
        <v>0</v>
      </c>
      <c r="D79" s="2" t="str">
        <f t="shared" si="2"/>
        <v/>
      </c>
    </row>
    <row r="80" spans="1:4" x14ac:dyDescent="0.4">
      <c r="A80" s="234">
        <f>IF(CV!B91&lt;Age+B,CV!B91-Age+1,"")</f>
        <v>74</v>
      </c>
      <c r="B80" s="265">
        <f>IFERROR(IF(AND(Age&gt;=0,Age&lt;=60),IF(CV!B91+1&lt;=Age+B,CV!B91+1,""),""),"")</f>
        <v>94</v>
      </c>
      <c r="C80" s="235">
        <f>IFERROR(CV!Z92,"")</f>
        <v>0</v>
      </c>
      <c r="D80" s="2" t="str">
        <f t="shared" si="2"/>
        <v/>
      </c>
    </row>
    <row r="81" spans="1:4" x14ac:dyDescent="0.4">
      <c r="A81" s="234">
        <f>IF(CV!B92&lt;Age+B,CV!B92-Age+1,"")</f>
        <v>75</v>
      </c>
      <c r="B81" s="265">
        <f>IFERROR(IF(AND(Age&gt;=0,Age&lt;=60),IF(CV!B92+1&lt;=Age+B,CV!B92+1,""),""),"")</f>
        <v>95</v>
      </c>
      <c r="C81" s="235">
        <f>IFERROR(CV!Z93,"")</f>
        <v>0</v>
      </c>
      <c r="D81" s="2" t="str">
        <f t="shared" si="2"/>
        <v/>
      </c>
    </row>
    <row r="82" spans="1:4" x14ac:dyDescent="0.4">
      <c r="A82" s="234">
        <f>IF(CV!B93&lt;Age+B,CV!B93-Age+1,"")</f>
        <v>76</v>
      </c>
      <c r="B82" s="265">
        <f>IFERROR(IF(AND(Age&gt;=0,Age&lt;=60),IF(CV!B93+1&lt;=Age+B,CV!B93+1,""),""),"")</f>
        <v>96</v>
      </c>
      <c r="C82" s="235">
        <f>IFERROR(CV!Z94,"")</f>
        <v>0</v>
      </c>
      <c r="D82" s="2" t="str">
        <f t="shared" si="2"/>
        <v/>
      </c>
    </row>
    <row r="83" spans="1:4" x14ac:dyDescent="0.4">
      <c r="A83" s="234">
        <f>IF(CV!B94&lt;Age+B,CV!B94-Age+1,"")</f>
        <v>77</v>
      </c>
      <c r="B83" s="265">
        <f>IFERROR(IF(AND(Age&gt;=0,Age&lt;=60),IF(CV!B94+1&lt;=Age+B,CV!B94+1,""),""),"")</f>
        <v>97</v>
      </c>
      <c r="C83" s="235">
        <f>IFERROR(CV!Z95,"")</f>
        <v>0</v>
      </c>
      <c r="D83" s="2" t="str">
        <f t="shared" si="2"/>
        <v/>
      </c>
    </row>
    <row r="84" spans="1:4" x14ac:dyDescent="0.4">
      <c r="A84" s="234">
        <f>IF(CV!B95&lt;Age+B,CV!B95-Age+1,"")</f>
        <v>78</v>
      </c>
      <c r="B84" s="265">
        <f>IFERROR(IF(AND(Age&gt;=0,Age&lt;=60),IF(CV!B95+1&lt;=Age+B,CV!B95+1,""),""),"")</f>
        <v>98</v>
      </c>
      <c r="C84" s="235">
        <f>IFERROR(CV!Z96,"")</f>
        <v>0</v>
      </c>
      <c r="D84" s="2" t="str">
        <f t="shared" si="2"/>
        <v/>
      </c>
    </row>
    <row r="85" spans="1:4" x14ac:dyDescent="0.4">
      <c r="A85" s="234">
        <f>IF(CV!B96&lt;Age+B,CV!B96-Age+1,"")</f>
        <v>79</v>
      </c>
      <c r="B85" s="265">
        <f>IFERROR(IF(AND(Age&gt;=0,Age&lt;=60),IF(CV!B96+1&lt;=Age+B,CV!B96+1,""),""),"")</f>
        <v>99</v>
      </c>
      <c r="C85" s="235">
        <f>IFERROR(CV!Z97,"")</f>
        <v>0</v>
      </c>
      <c r="D85" s="2" t="str">
        <f t="shared" si="2"/>
        <v/>
      </c>
    </row>
    <row r="86" spans="1:4" x14ac:dyDescent="0.4">
      <c r="A86" s="234">
        <f>IF(CV!B97&lt;Age+B,CV!B97-Age+1,"")</f>
        <v>80</v>
      </c>
      <c r="B86" s="265">
        <f>IFERROR(IF(AND(Age&gt;=0,Age&lt;=60),IF(CV!B97+1&lt;=Age+B,CV!B97+1,""),""),"")</f>
        <v>100</v>
      </c>
      <c r="C86" s="235">
        <f>IFERROR(CV!Z98,"")</f>
        <v>0</v>
      </c>
      <c r="D86" s="2" t="str">
        <f t="shared" si="2"/>
        <v/>
      </c>
    </row>
    <row r="87" spans="1:4" x14ac:dyDescent="0.4">
      <c r="A87" s="234">
        <f>IF(CV!B98&lt;Age+B,CV!B98-Age+1,"")</f>
        <v>81</v>
      </c>
      <c r="B87" s="265">
        <f>IFERROR(IF(AND(Age&gt;=0,Age&lt;=60),IF(CV!B98+1&lt;=Age+B,CV!B98+1,""),""),"")</f>
        <v>101</v>
      </c>
      <c r="C87" s="235">
        <f>IFERROR(CV!Z99,"")</f>
        <v>0</v>
      </c>
      <c r="D87" s="2" t="str">
        <f t="shared" si="2"/>
        <v/>
      </c>
    </row>
    <row r="88" spans="1:4" x14ac:dyDescent="0.4">
      <c r="A88" s="234">
        <f>IF(CV!B99&lt;Age+B,CV!B99-Age+1,"")</f>
        <v>82</v>
      </c>
      <c r="B88" s="265">
        <f>IFERROR(IF(AND(Age&gt;=0,Age&lt;=60),IF(CV!B99+1&lt;=Age+B,CV!B99+1,""),""),"")</f>
        <v>102</v>
      </c>
      <c r="C88" s="235">
        <f>IFERROR(CV!Z100,"")</f>
        <v>0</v>
      </c>
      <c r="D88" s="2" t="str">
        <f t="shared" si="2"/>
        <v/>
      </c>
    </row>
    <row r="89" spans="1:4" x14ac:dyDescent="0.4">
      <c r="A89" s="234">
        <f>IF(CV!B100&lt;Age+B,CV!B100-Age+1,"")</f>
        <v>83</v>
      </c>
      <c r="B89" s="265">
        <f>IFERROR(IF(AND(Age&gt;=0,Age&lt;=60),IF(CV!B100+1&lt;=Age+B,CV!B100+1,""),""),"")</f>
        <v>103</v>
      </c>
      <c r="C89" s="235">
        <f>IFERROR(CV!Z101,"")</f>
        <v>0</v>
      </c>
      <c r="D89" s="2" t="str">
        <f t="shared" si="2"/>
        <v/>
      </c>
    </row>
    <row r="90" spans="1:4" x14ac:dyDescent="0.4">
      <c r="A90" s="234">
        <f>IF(CV!B101&lt;Age+B,CV!B101-Age+1,"")</f>
        <v>84</v>
      </c>
      <c r="B90" s="265">
        <f>IFERROR(IF(AND(Age&gt;=0,Age&lt;=60),IF(CV!B101+1&lt;=Age+B,CV!B101+1,""),""),"")</f>
        <v>104</v>
      </c>
      <c r="C90" s="235">
        <f>IFERROR(CV!Z102,"")</f>
        <v>0</v>
      </c>
      <c r="D90" s="2" t="str">
        <f t="shared" si="2"/>
        <v/>
      </c>
    </row>
    <row r="91" spans="1:4" x14ac:dyDescent="0.4">
      <c r="A91" s="234">
        <f>IF(CV!B102&lt;Age+B,CV!B102-Age+1,"")</f>
        <v>85</v>
      </c>
      <c r="B91" s="265">
        <f>IFERROR(IF(AND(Age&gt;=0,Age&lt;=60),IF(CV!B102+1&lt;=Age+B,CV!B102+1,""),""),"")</f>
        <v>105</v>
      </c>
      <c r="C91" s="235">
        <f>IFERROR(CV!Z103,"")</f>
        <v>0</v>
      </c>
      <c r="D91" s="2" t="str">
        <f t="shared" si="2"/>
        <v/>
      </c>
    </row>
    <row r="92" spans="1:4" x14ac:dyDescent="0.4">
      <c r="A92" s="234" t="str">
        <f>IF(CV!B103&lt;Age+B,CV!B103-Age+1,"")</f>
        <v/>
      </c>
      <c r="B92" s="265" t="str">
        <f>IFERROR(IF(AND(Age&gt;=0,Age&lt;=60),IF(CV!B103+1&lt;=Age+B,CV!B103+1,""),""),"")</f>
        <v/>
      </c>
      <c r="C92" s="235" t="str">
        <f>IFERROR(CV!Z104,"")</f>
        <v/>
      </c>
      <c r="D92" s="2" t="str">
        <f t="shared" si="2"/>
        <v/>
      </c>
    </row>
    <row r="93" spans="1:4" x14ac:dyDescent="0.4">
      <c r="A93" s="234" t="str">
        <f>IF(CV!B104&lt;Age+B,CV!B104-Age+1,"")</f>
        <v/>
      </c>
      <c r="B93" s="265" t="str">
        <f>IFERROR(IF(AND(Age&gt;=0,Age&lt;=60),IF(CV!B104+1&lt;=Age+B,CV!B104+1,""),""),"")</f>
        <v/>
      </c>
      <c r="C93" s="235" t="str">
        <f>IFERROR(CV!Z105,"")</f>
        <v/>
      </c>
      <c r="D93" s="2" t="str">
        <f t="shared" si="2"/>
        <v/>
      </c>
    </row>
    <row r="94" spans="1:4" x14ac:dyDescent="0.4">
      <c r="A94" s="234" t="str">
        <f>IF(CV!B105&lt;Age+B,CV!B105-Age+1,"")</f>
        <v/>
      </c>
      <c r="B94" s="265" t="str">
        <f>IFERROR(IF(AND(Age&gt;=0,Age&lt;=60),IF(CV!B105+1&lt;=Age+B,CV!B105+1,""),""),"")</f>
        <v/>
      </c>
      <c r="C94" s="235" t="str">
        <f>IFERROR(CV!Z106,"")</f>
        <v/>
      </c>
      <c r="D94" s="2" t="str">
        <f t="shared" si="2"/>
        <v/>
      </c>
    </row>
    <row r="95" spans="1:4" x14ac:dyDescent="0.4">
      <c r="A95" s="234" t="str">
        <f>IF(CV!B106&lt;Age+B,CV!B106-Age+1,"")</f>
        <v/>
      </c>
      <c r="B95" s="265" t="str">
        <f>IFERROR(IF(AND(Age&gt;=0,Age&lt;=60),IF(CV!B106+1&lt;=Age+B,CV!B106+1,""),""),"")</f>
        <v/>
      </c>
      <c r="C95" s="235" t="str">
        <f>IFERROR(CV!Z107,"")</f>
        <v/>
      </c>
      <c r="D95" s="2" t="str">
        <f t="shared" si="2"/>
        <v/>
      </c>
    </row>
    <row r="96" spans="1:4" x14ac:dyDescent="0.4">
      <c r="A96" s="234" t="str">
        <f>IF(CV!B107&lt;Age+B,CV!B107-Age+1,"")</f>
        <v/>
      </c>
      <c r="B96" s="265" t="str">
        <f>IFERROR(IF(AND(Age&gt;=0,Age&lt;=60),IF(CV!B107+1&lt;=Age+B,CV!B107+1,""),""),"")</f>
        <v/>
      </c>
      <c r="C96" s="235" t="str">
        <f>IFERROR(CV!Z108,"")</f>
        <v/>
      </c>
      <c r="D96" s="2" t="str">
        <f t="shared" si="2"/>
        <v/>
      </c>
    </row>
    <row r="97" spans="1:4" x14ac:dyDescent="0.4">
      <c r="A97" s="234" t="str">
        <f>IF(CV!B108&lt;Age+B,CV!B108-Age+1,"")</f>
        <v/>
      </c>
      <c r="B97" s="265" t="str">
        <f>IFERROR(IF(AND(Age&gt;=0,Age&lt;=60),IF(CV!B108+1&lt;=Age+B,CV!B108+1,""),""),"")</f>
        <v/>
      </c>
      <c r="C97" s="235" t="str">
        <f>IFERROR(CV!Z109,"")</f>
        <v/>
      </c>
      <c r="D97" s="2" t="str">
        <f t="shared" si="2"/>
        <v/>
      </c>
    </row>
    <row r="98" spans="1:4" x14ac:dyDescent="0.4">
      <c r="A98" s="234" t="str">
        <f>IF(CV!B109&lt;Age+B,CV!B109-Age+1,"")</f>
        <v/>
      </c>
      <c r="B98" s="265" t="str">
        <f>IFERROR(IF(AND(Age&gt;=0,Age&lt;=60),IF(CV!B109+1&lt;=Age+B,CV!B109+1,""),""),"")</f>
        <v/>
      </c>
      <c r="C98" s="235" t="str">
        <f>IFERROR(CV!Z110,"")</f>
        <v/>
      </c>
      <c r="D98" s="2" t="str">
        <f t="shared" si="2"/>
        <v/>
      </c>
    </row>
    <row r="99" spans="1:4" x14ac:dyDescent="0.4">
      <c r="A99" s="234" t="str">
        <f>IF(CV!B110&lt;Age+B,CV!B110-Age+1,"")</f>
        <v/>
      </c>
      <c r="B99" s="265" t="str">
        <f>IFERROR(IF(AND(Age&gt;=0,Age&lt;=60),IF(CV!B110+1&lt;=Age+B,CV!B110+1,""),""),"")</f>
        <v/>
      </c>
      <c r="C99" s="235" t="str">
        <f>IFERROR(CV!Z111,"")</f>
        <v/>
      </c>
      <c r="D99" s="2" t="str">
        <f t="shared" si="2"/>
        <v/>
      </c>
    </row>
    <row r="100" spans="1:4" x14ac:dyDescent="0.4">
      <c r="A100" s="234" t="str">
        <f>IF(CV!B111&lt;Age+B,CV!B111-Age+1,"")</f>
        <v/>
      </c>
      <c r="B100" s="265" t="str">
        <f>IFERROR(IF(AND(Age&gt;=0,Age&lt;=60),IF(CV!B111+1&lt;=Age+B,CV!B111+1,""),""),"")</f>
        <v/>
      </c>
      <c r="C100" s="235" t="str">
        <f>IFERROR(CV!Z112,"")</f>
        <v/>
      </c>
      <c r="D100" s="2" t="str">
        <f t="shared" si="2"/>
        <v/>
      </c>
    </row>
    <row r="101" spans="1:4" x14ac:dyDescent="0.4">
      <c r="A101" s="234" t="str">
        <f>IF(CV!B112&lt;Age+B,CV!B112-Age+1,"")</f>
        <v/>
      </c>
      <c r="B101" s="265" t="str">
        <f>IFERROR(IF(AND(Age&gt;=0,Age&lt;=60),IF(CV!B112+1&lt;=Age+B,CV!B112+1,""),""),"")</f>
        <v/>
      </c>
      <c r="C101" s="235" t="str">
        <f>IFERROR(CV!Z113,"")</f>
        <v/>
      </c>
      <c r="D101" s="2" t="str">
        <f t="shared" si="2"/>
        <v/>
      </c>
    </row>
    <row r="102" spans="1:4" x14ac:dyDescent="0.4">
      <c r="A102" s="234" t="str">
        <f>IF(CV!B113&lt;Age+B,CV!B113-Age+1,"")</f>
        <v/>
      </c>
      <c r="B102" s="265" t="str">
        <f>IFERROR(IF(AND(Age&gt;=0,Age&lt;=60),IF(CV!B113+1&lt;=Age+B,CV!B113+1,""),""),"")</f>
        <v/>
      </c>
      <c r="C102" s="235" t="str">
        <f>IFERROR(CV!Z114,"")</f>
        <v/>
      </c>
      <c r="D102" s="2" t="str">
        <f t="shared" si="2"/>
        <v/>
      </c>
    </row>
    <row r="103" spans="1:4" x14ac:dyDescent="0.4">
      <c r="A103" s="234" t="str">
        <f>IF(CV!B114&lt;Age+B,CV!B114-Age+1,"")</f>
        <v/>
      </c>
      <c r="B103" s="265" t="str">
        <f>IFERROR(IF(AND(Age&gt;=0,Age&lt;=60),IF(CV!B114+1&lt;=Age+B,CV!B114+1,""),""),"")</f>
        <v/>
      </c>
      <c r="C103" s="235" t="str">
        <f>IFERROR(CV!Z115,"")</f>
        <v/>
      </c>
      <c r="D103" s="2" t="str">
        <f t="shared" si="2"/>
        <v/>
      </c>
    </row>
    <row r="104" spans="1:4" x14ac:dyDescent="0.4">
      <c r="A104" s="234" t="str">
        <f>IF(CV!B115&lt;Age+B,CV!B115-Age+1,"")</f>
        <v/>
      </c>
      <c r="B104" s="265" t="str">
        <f>IFERROR(IF(AND(Age&gt;=0,Age&lt;=60),IF(CV!B115+1&lt;=Age+B,CV!B115+1,""),""),"")</f>
        <v/>
      </c>
      <c r="C104" s="235" t="str">
        <f>IFERROR(CV!Z116,"")</f>
        <v/>
      </c>
      <c r="D104" s="2" t="str">
        <f t="shared" ref="D104:D111" si="3">IF(AND(C104=0,C103&gt;0),"→本年度年初t开始领取第一笔养老年金","")</f>
        <v/>
      </c>
    </row>
    <row r="105" spans="1:4" x14ac:dyDescent="0.4">
      <c r="A105" s="234" t="str">
        <f>IF(CV!B116&lt;Age+B,CV!B116-Age+1,"")</f>
        <v/>
      </c>
      <c r="B105" s="265" t="str">
        <f>IFERROR(IF(AND(Age&gt;=0,Age&lt;=60),IF(CV!B116+1&lt;=Age+B,CV!B116+1,""),""),"")</f>
        <v/>
      </c>
      <c r="C105" s="235" t="str">
        <f>IFERROR(CV!Z117,"")</f>
        <v/>
      </c>
      <c r="D105" s="2" t="str">
        <f t="shared" si="3"/>
        <v/>
      </c>
    </row>
    <row r="106" spans="1:4" x14ac:dyDescent="0.4">
      <c r="A106" s="234" t="str">
        <f>IF(CV!B117&lt;Age+B,CV!B117-Age+1,"")</f>
        <v/>
      </c>
      <c r="B106" s="265" t="str">
        <f>IFERROR(IF(AND(Age&gt;=0,Age&lt;=60),IF(CV!B117+1&lt;=Age+B,CV!B117+1,""),""),"")</f>
        <v/>
      </c>
      <c r="C106" s="235" t="str">
        <f>IFERROR(CV!Z118,"")</f>
        <v/>
      </c>
      <c r="D106" s="2" t="str">
        <f t="shared" si="3"/>
        <v/>
      </c>
    </row>
    <row r="107" spans="1:4" x14ac:dyDescent="0.4">
      <c r="A107" s="234" t="str">
        <f>IF(CV!B118&lt;Age+B,CV!B118-Age+1,"")</f>
        <v/>
      </c>
      <c r="B107" s="265" t="str">
        <f>IFERROR(IF(AND(Age&gt;=0,Age&lt;=60),IF(CV!B118+1&lt;=Age+B,CV!B118+1,""),""),"")</f>
        <v/>
      </c>
      <c r="C107" s="235" t="str">
        <f>IFERROR(CV!Z119,"")</f>
        <v/>
      </c>
      <c r="D107" s="2" t="str">
        <f t="shared" si="3"/>
        <v/>
      </c>
    </row>
    <row r="108" spans="1:4" x14ac:dyDescent="0.4">
      <c r="A108" s="234" t="str">
        <f>IF(CV!B119&lt;Age+B,CV!B119-Age+1,"")</f>
        <v/>
      </c>
      <c r="B108" s="265" t="str">
        <f>IFERROR(IF(AND(Age&gt;=0,Age&lt;=60),IF(CV!B119+1&lt;=Age+B,CV!B119+1,""),""),"")</f>
        <v/>
      </c>
      <c r="C108" s="235" t="str">
        <f>IFERROR(CV!Z120,"")</f>
        <v/>
      </c>
      <c r="D108" s="2" t="str">
        <f t="shared" si="3"/>
        <v/>
      </c>
    </row>
    <row r="109" spans="1:4" x14ac:dyDescent="0.4">
      <c r="A109" s="234" t="str">
        <f>IF(CV!B120&lt;Age+B,CV!B120-Age+1,"")</f>
        <v/>
      </c>
      <c r="B109" s="265" t="str">
        <f>IFERROR(IF(AND(Age&gt;=0,Age&lt;=60),IF(CV!B120+1&lt;=Age+B,CV!B120+1,""),""),"")</f>
        <v/>
      </c>
      <c r="C109" s="235" t="str">
        <f>IFERROR(CV!Z121,"")</f>
        <v/>
      </c>
      <c r="D109" s="2" t="str">
        <f t="shared" si="3"/>
        <v/>
      </c>
    </row>
    <row r="110" spans="1:4" x14ac:dyDescent="0.4">
      <c r="A110" s="234" t="str">
        <f>IF(CV!B121&lt;Age+B,CV!B121-Age+1,"")</f>
        <v/>
      </c>
      <c r="B110" s="265" t="str">
        <f>IFERROR(IF(AND(Age&gt;=0,Age&lt;=60),IF(CV!B121+1&lt;=Age+B,CV!B121+1,""),""),"")</f>
        <v/>
      </c>
      <c r="C110" s="235" t="str">
        <f>IFERROR(CV!Z122,"")</f>
        <v/>
      </c>
      <c r="D110" s="2" t="str">
        <f t="shared" si="3"/>
        <v/>
      </c>
    </row>
    <row r="111" spans="1:4" x14ac:dyDescent="0.4">
      <c r="A111" s="236" t="str">
        <f>IF(CV!B122&lt;Age+B,CV!B122-Age+1,"")</f>
        <v/>
      </c>
      <c r="B111" s="266" t="str">
        <f>IFERROR(IF(AND(Age&gt;=0,Age&lt;=60),IF(CV!B122+1&lt;=Age+B,CV!B122+1,""),""),"")</f>
        <v/>
      </c>
      <c r="C111" s="237" t="str">
        <f>IFERROR(CV!Z123,"")</f>
        <v/>
      </c>
      <c r="D111" s="2" t="str">
        <f t="shared" si="3"/>
        <v/>
      </c>
    </row>
  </sheetData>
  <mergeCells count="3">
    <mergeCell ref="A1:I1"/>
    <mergeCell ref="A3:L3"/>
    <mergeCell ref="E5:F5"/>
  </mergeCells>
  <phoneticPr fontId="3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18</vt:i4>
      </vt:variant>
    </vt:vector>
  </HeadingPairs>
  <TitlesOfParts>
    <vt:vector size="26" baseType="lpstr">
      <vt:lpstr>Cover</vt:lpstr>
      <vt:lpstr>Exp</vt:lpstr>
      <vt:lpstr>Mort</vt:lpstr>
      <vt:lpstr>Prem</vt:lpstr>
      <vt:lpstr>CV</vt:lpstr>
      <vt:lpstr>GP_Table</vt:lpstr>
      <vt:lpstr>毛保费汇总表</vt:lpstr>
      <vt:lpstr>CV_Table</vt:lpstr>
      <vt:lpstr>AB_rate</vt:lpstr>
      <vt:lpstr>Age</vt:lpstr>
      <vt:lpstr>B</vt:lpstr>
      <vt:lpstr>Begin_Age</vt:lpstr>
      <vt:lpstr>BPP</vt:lpstr>
      <vt:lpstr>CV_Int</vt:lpstr>
      <vt:lpstr>End_Age</vt:lpstr>
      <vt:lpstr>Exp_load_CV</vt:lpstr>
      <vt:lpstr>Exp_load_Prem</vt:lpstr>
      <vt:lpstr>Face_Amt</vt:lpstr>
      <vt:lpstr>GB_rate</vt:lpstr>
      <vt:lpstr>Gross_Premium</vt:lpstr>
      <vt:lpstr>mort_alb_25</vt:lpstr>
      <vt:lpstr>Mort_Int</vt:lpstr>
      <vt:lpstr>PPP</vt:lpstr>
      <vt:lpstr>Prem</vt:lpstr>
      <vt:lpstr>Prem_Int</vt:lpstr>
      <vt:lpstr>Sex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XYZH USER</dc:creator>
  <cp:lastModifiedBy>佳雪 佘</cp:lastModifiedBy>
  <dcterms:created xsi:type="dcterms:W3CDTF">2022-06-23T08:54:00Z</dcterms:created>
  <dcterms:modified xsi:type="dcterms:W3CDTF">2026-05-30T16:05:15Z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8CF40F024F984D1093E8891B581DB321_12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